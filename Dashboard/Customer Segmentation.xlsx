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HRIKET\Datamites\Excel\Project\CUSTOMER SEGMENTATION\"/>
    </mc:Choice>
  </mc:AlternateContent>
  <xr:revisionPtr revIDLastSave="0" documentId="13_ncr:1_{61594CAF-E5BB-4483-819C-B1433B898F79}" xr6:coauthVersionLast="47" xr6:coauthVersionMax="47" xr10:uidLastSave="{00000000-0000-0000-0000-000000000000}"/>
  <bookViews>
    <workbookView xWindow="-108" yWindow="-108" windowWidth="23256" windowHeight="12456" activeTab="2" xr2:uid="{49ABCDCB-C04A-412D-B36C-F5C435B1A996}"/>
  </bookViews>
  <sheets>
    <sheet name="customers" sheetId="2" r:id="rId1"/>
    <sheet name="Breakdown" sheetId="1" r:id="rId2"/>
    <sheet name="VIsuals " sheetId="3" r:id="rId3"/>
  </sheets>
  <externalReferences>
    <externalReference r:id="rId4"/>
  </externalReferences>
  <definedNames>
    <definedName name="avgage">Breakdown!$H$8</definedName>
    <definedName name="avgincome">Breakdown!$D$8</definedName>
    <definedName name="ExternalData_1" localSheetId="0" hidden="1">'customers'!$A$1:$N$501</definedName>
    <definedName name="maxtenure">Breakdown!$H$13</definedName>
    <definedName name="Slicer_Customer_Segment">#N/A</definedName>
    <definedName name="Slicer_Region">#N/A</definedName>
    <definedName name="tcustomers">Breakdown!$B$8</definedName>
    <definedName name="tenure">Breakdown!$F$8</definedName>
    <definedName name="toptenure">Breakdown!$H$14</definedName>
    <definedName name="ww">[1]SUMMARY!$B$5</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1" l="1"/>
  <c r="H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3C52CA-17B9-4E60-BC97-3642EF142056}"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<sst xmlns="http://schemas.openxmlformats.org/spreadsheetml/2006/main" count="4565" uniqueCount="1052">
  <si>
    <t>CustomerID</t>
  </si>
  <si>
    <t>Name</t>
  </si>
  <si>
    <t>Gender</t>
  </si>
  <si>
    <t>Age</t>
  </si>
  <si>
    <t>Age group</t>
  </si>
  <si>
    <t>Region</t>
  </si>
  <si>
    <t>Occupation</t>
  </si>
  <si>
    <t>Income</t>
  </si>
  <si>
    <t>Income Bracket</t>
  </si>
  <si>
    <t>Customer_Segment</t>
  </si>
  <si>
    <t>Join_Date</t>
  </si>
  <si>
    <t>CUST0001</t>
  </si>
  <si>
    <t>Deborah Dominguez MD</t>
  </si>
  <si>
    <t>Male</t>
  </si>
  <si>
    <t>Millennials</t>
  </si>
  <si>
    <t>North</t>
  </si>
  <si>
    <t>Doctor</t>
  </si>
  <si>
    <t>High</t>
  </si>
  <si>
    <t>Retail</t>
  </si>
  <si>
    <t>CUST0002</t>
  </si>
  <si>
    <t>Erin Martinez</t>
  </si>
  <si>
    <t>Female</t>
  </si>
  <si>
    <t>Gen X</t>
  </si>
  <si>
    <t>East</t>
  </si>
  <si>
    <t>Trader</t>
  </si>
  <si>
    <t>Corporate</t>
  </si>
  <si>
    <t>CUST0003</t>
  </si>
  <si>
    <t>Amanda Harris</t>
  </si>
  <si>
    <t>Teacher</t>
  </si>
  <si>
    <t>Private</t>
  </si>
  <si>
    <t>CUST0004</t>
  </si>
  <si>
    <t>Candice Palmer</t>
  </si>
  <si>
    <t>Banker</t>
  </si>
  <si>
    <t>Medium</t>
  </si>
  <si>
    <t>CUST0005</t>
  </si>
  <si>
    <t>Sandra Davis</t>
  </si>
  <si>
    <t>Gen Z</t>
  </si>
  <si>
    <t>West</t>
  </si>
  <si>
    <t>Student</t>
  </si>
  <si>
    <t>CUST0006</t>
  </si>
  <si>
    <t>Vanessa Peterson</t>
  </si>
  <si>
    <t>South</t>
  </si>
  <si>
    <t>Low</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</si>
  <si>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</si>
  <si>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</si>
  <si>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</si>
  <si>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</si>
  <si>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</si>
  <si>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</si>
  <si>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</si>
  <si>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</si>
  <si>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</si>
  <si>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</si>
  <si>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</si>
  <si>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</si>
  <si>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</si>
  <si>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</si>
  <si>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</si>
  <si>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</si>
  <si>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</si>
  <si>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</si>
  <si>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</si>
  <si>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</si>
  <si>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</si>
  <si>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</si>
  <si>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</si>
  <si>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</si>
  <si>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</si>
  <si>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</si>
  <si>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</si>
  <si>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</si>
  <si>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</si>
  <si>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</si>
  <si>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</si>
  <si>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</si>
  <si>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</si>
  <si>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</si>
  <si>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</si>
  <si>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</si>
  <si>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</si>
  <si>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</si>
  <si>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</si>
  <si>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</si>
  <si>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</si>
  <si>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</si>
  <si>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</si>
  <si>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</si>
  <si>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</si>
  <si>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</si>
  <si>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</si>
  <si>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</si>
  <si>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</si>
  <si>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</si>
  <si>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</si>
  <si>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</si>
  <si>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</si>
  <si>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</si>
  <si>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</si>
  <si>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</si>
  <si>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</si>
  <si>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</si>
  <si>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</si>
  <si>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</si>
  <si>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</si>
  <si>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</si>
  <si>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</si>
  <si>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</si>
  <si>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</si>
  <si>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</si>
  <si>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</si>
  <si>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</si>
  <si>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</si>
  <si>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</si>
  <si>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</si>
  <si>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</si>
  <si>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</si>
  <si>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</si>
  <si>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</si>
  <si>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</si>
  <si>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</si>
  <si>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</si>
  <si>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</si>
  <si>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</si>
  <si>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</si>
  <si>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</si>
  <si>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</si>
  <si>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</si>
  <si>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</si>
  <si>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</si>
  <si>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</si>
  <si>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</si>
  <si>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</si>
  <si>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</si>
  <si>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</si>
  <si>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</si>
  <si>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</si>
  <si>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</si>
  <si>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</si>
  <si>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</si>
  <si>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</si>
  <si>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</si>
  <si>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</si>
  <si>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</si>
  <si>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</si>
  <si>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</si>
  <si>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</si>
  <si>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</si>
  <si>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</si>
  <si>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</si>
  <si>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</si>
  <si>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</si>
  <si>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</si>
  <si>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</si>
  <si>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</si>
  <si>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</si>
  <si>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</si>
  <si>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</si>
  <si>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</si>
  <si>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</si>
  <si>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</si>
  <si>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</si>
  <si>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</si>
  <si>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</si>
  <si>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</si>
  <si>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</si>
  <si>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</si>
  <si>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</si>
  <si>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</si>
  <si>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</si>
  <si>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</si>
  <si>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</si>
  <si>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</si>
  <si>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</si>
  <si>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</si>
  <si>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</si>
  <si>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</si>
  <si>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</si>
  <si>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</si>
  <si>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</si>
  <si>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</si>
  <si>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</si>
  <si>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</si>
  <si>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</si>
  <si>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</si>
  <si>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</si>
  <si>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</si>
  <si>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</si>
  <si>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</si>
  <si>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</si>
  <si>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</si>
  <si>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</si>
  <si>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</si>
  <si>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</si>
  <si>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</si>
  <si>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</si>
  <si>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</si>
  <si>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</si>
  <si>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</si>
  <si>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</si>
  <si>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</si>
  <si>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</si>
  <si>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</si>
  <si>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</si>
  <si>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</si>
  <si>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</si>
  <si>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</si>
  <si>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</si>
  <si>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</si>
  <si>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</si>
  <si>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</si>
  <si>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</si>
  <si>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</si>
  <si>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</si>
  <si>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</si>
  <si>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</si>
  <si>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</si>
  <si>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</si>
  <si>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</si>
  <si>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</si>
  <si>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</si>
  <si>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</si>
  <si>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</si>
  <si>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</si>
  <si>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</si>
  <si>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</si>
  <si>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</si>
  <si>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</si>
  <si>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</si>
  <si>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</si>
  <si>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</si>
  <si>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</si>
  <si>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</si>
  <si>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</si>
  <si>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</si>
  <si>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</si>
  <si>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</si>
  <si>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</si>
  <si>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</si>
  <si>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</si>
  <si>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</si>
  <si>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</si>
  <si>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</si>
  <si>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</si>
  <si>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</si>
  <si>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</si>
  <si>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</si>
  <si>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</si>
  <si>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</si>
  <si>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</si>
  <si>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</si>
  <si>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</si>
  <si>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</si>
  <si>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</si>
  <si>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</si>
  <si>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</si>
  <si>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</si>
  <si>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</si>
  <si>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</si>
  <si>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</si>
  <si>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</si>
  <si>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</si>
  <si>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</si>
  <si>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</si>
  <si>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</si>
  <si>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</si>
  <si>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</si>
  <si>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</si>
  <si>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</si>
  <si>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</si>
  <si>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</si>
  <si>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</si>
  <si>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</si>
  <si>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</si>
  <si>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</si>
  <si>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</si>
  <si>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</si>
  <si>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</si>
  <si>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</si>
  <si>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</si>
  <si>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</si>
  <si>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</si>
  <si>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</si>
  <si>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</si>
  <si>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</si>
  <si>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</si>
  <si>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</si>
  <si>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</si>
  <si>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</si>
  <si>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</si>
  <si>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</si>
  <si>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</si>
  <si>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</si>
  <si>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</si>
  <si>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</si>
  <si>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</si>
  <si>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</si>
  <si>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</si>
  <si>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</si>
  <si>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</si>
  <si>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</si>
  <si>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</si>
  <si>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</si>
  <si>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</si>
  <si>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</si>
  <si>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</si>
  <si>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</si>
  <si>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</si>
  <si>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</si>
  <si>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</si>
  <si>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</si>
  <si>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</si>
  <si>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</si>
  <si>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</si>
  <si>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</si>
  <si>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</si>
  <si>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</si>
  <si>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</si>
  <si>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</si>
  <si>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</si>
  <si>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</si>
  <si>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</si>
  <si>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</si>
  <si>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</si>
  <si>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</si>
  <si>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</si>
  <si>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</si>
  <si>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</si>
  <si>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</si>
  <si>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</si>
  <si>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</si>
  <si>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</si>
  <si>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</si>
  <si>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</si>
  <si>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</si>
  <si>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</si>
  <si>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</si>
  <si>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</si>
  <si>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</si>
  <si>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</si>
  <si>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</si>
  <si>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</si>
  <si>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</si>
  <si>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</si>
  <si>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</si>
  <si>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</si>
  <si>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</si>
  <si>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</si>
  <si>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</si>
  <si>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</si>
  <si>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</si>
  <si>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</si>
  <si>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</si>
  <si>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</si>
  <si>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</si>
  <si>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</si>
  <si>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</si>
  <si>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</si>
  <si>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</si>
  <si>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</si>
  <si>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</si>
  <si>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</si>
  <si>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</si>
  <si>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</si>
  <si>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</si>
  <si>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</si>
  <si>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</si>
  <si>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</si>
  <si>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</si>
  <si>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</si>
  <si>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</si>
  <si>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</si>
  <si>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</si>
  <si>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</si>
  <si>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</si>
  <si>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</si>
  <si>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</si>
  <si>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</si>
  <si>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</si>
  <si>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</si>
  <si>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</si>
  <si>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</si>
  <si>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</si>
  <si>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</si>
  <si>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</si>
  <si>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</si>
  <si>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</si>
  <si>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</si>
  <si>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</si>
  <si>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</si>
  <si>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</si>
  <si>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</si>
  <si>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</si>
  <si>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</si>
  <si>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</si>
  <si>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</si>
  <si>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</si>
  <si>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</si>
  <si>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</si>
  <si>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</si>
  <si>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</si>
  <si>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</si>
  <si>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</si>
  <si>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</si>
  <si>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</si>
  <si>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</si>
  <si>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</si>
  <si>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</si>
  <si>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</si>
  <si>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</si>
  <si>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</si>
  <si>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</si>
  <si>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</si>
  <si>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</si>
  <si>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</si>
  <si>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</si>
  <si>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</si>
  <si>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</si>
  <si>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</si>
  <si>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</si>
  <si>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</si>
  <si>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</si>
  <si>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</si>
  <si>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</si>
  <si>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</si>
  <si>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</si>
  <si>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</si>
  <si>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</si>
  <si>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</si>
  <si>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</si>
  <si>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</si>
  <si>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</si>
  <si>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</si>
  <si>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</si>
  <si>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</si>
  <si>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</si>
  <si>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</si>
  <si>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</si>
  <si>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</si>
  <si>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</si>
  <si>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</si>
  <si>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</si>
  <si>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</si>
  <si>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</si>
  <si>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</si>
  <si>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</si>
  <si>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</si>
  <si>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</si>
  <si>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</si>
  <si>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</si>
  <si>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</si>
  <si>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</si>
  <si>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</si>
  <si>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</si>
  <si>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</si>
  <si>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</si>
  <si>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</si>
  <si>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</si>
  <si>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</si>
  <si>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</si>
  <si>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</si>
  <si>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</si>
  <si>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</si>
  <si>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</si>
  <si>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</si>
  <si>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</si>
  <si>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</si>
  <si>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</si>
  <si>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</si>
  <si>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</si>
  <si>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</si>
  <si>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</si>
  <si>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</si>
  <si>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</si>
  <si>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</si>
  <si>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</si>
  <si>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</si>
  <si>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</si>
  <si>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</si>
  <si>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</si>
  <si>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</si>
  <si>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</si>
  <si>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</si>
  <si>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</si>
  <si>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</si>
  <si>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</si>
  <si>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</si>
  <si>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</si>
  <si>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</si>
  <si>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</si>
  <si>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</si>
  <si>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</si>
  <si>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</si>
  <si>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</si>
  <si>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</si>
  <si>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</si>
  <si>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</si>
  <si>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</si>
  <si>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</si>
  <si>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</si>
  <si>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</si>
  <si>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</si>
  <si>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</si>
  <si>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</si>
  <si>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</si>
  <si>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</si>
  <si>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</si>
  <si>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</si>
  <si>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</si>
  <si>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</si>
  <si>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</si>
  <si>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</si>
  <si>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</si>
  <si>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</si>
  <si>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</si>
  <si>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</si>
  <si>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</si>
  <si>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</si>
  <si>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</si>
  <si>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</si>
  <si>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</si>
  <si>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</si>
  <si>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</si>
  <si>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</si>
  <si>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</si>
  <si>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</si>
  <si>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</si>
  <si>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</si>
  <si>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</si>
  <si>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</si>
  <si>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</si>
  <si>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</si>
  <si>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</si>
  <si>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</si>
  <si>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</si>
  <si>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</si>
  <si>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</si>
  <si>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</si>
  <si>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</si>
  <si>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</si>
  <si>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</si>
  <si>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</si>
  <si>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</si>
  <si>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</si>
  <si>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</si>
  <si>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</si>
  <si>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</si>
  <si>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</si>
  <si>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</si>
  <si>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</si>
  <si>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</si>
  <si>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</si>
  <si>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</si>
  <si>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</si>
  <si>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</si>
  <si>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</si>
  <si>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</si>
  <si>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</si>
  <si>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</si>
  <si>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</si>
  <si>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</si>
  <si>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</si>
  <si>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</si>
  <si>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</si>
  <si>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</si>
  <si>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</si>
  <si>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</si>
  <si>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</si>
  <si>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</si>
  <si>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</si>
  <si>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</si>
  <si>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</si>
  <si>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</si>
  <si>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</si>
  <si>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</si>
  <si>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</si>
  <si>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</si>
  <si>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</si>
  <si>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</si>
  <si>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</si>
  <si>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</si>
  <si>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</si>
  <si>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</si>
  <si>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</si>
  <si>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</si>
  <si>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</si>
  <si>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</si>
  <si>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</si>
  <si>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</si>
  <si>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</si>
  <si>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</si>
  <si>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</si>
  <si>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</si>
  <si>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</si>
  <si>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</si>
  <si>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</si>
  <si>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</si>
  <si>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</si>
  <si>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</si>
  <si>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</si>
  <si>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</si>
  <si>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</si>
  <si>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</si>
  <si>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</si>
  <si>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</si>
  <si>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</si>
  <si>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</si>
  <si>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</si>
  <si>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</si>
  <si>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</si>
  <si>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</si>
  <si>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</si>
  <si>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</si>
  <si>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</si>
  <si>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</si>
  <si>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</si>
  <si>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</si>
  <si>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</si>
  <si>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</si>
  <si>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</si>
  <si>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</si>
  <si>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</si>
  <si>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</si>
  <si>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</si>
  <si>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</si>
  <si>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</si>
  <si>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</si>
  <si>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</si>
  <si>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</si>
  <si>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</si>
  <si>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</si>
  <si>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</si>
  <si>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</si>
  <si>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</si>
  <si>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</si>
  <si>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</si>
  <si>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</si>
  <si>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</si>
  <si>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</si>
  <si>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</si>
  <si>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</si>
  <si>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</si>
  <si>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</si>
  <si>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</si>
  <si>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</si>
  <si>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</si>
  <si>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</si>
  <si>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</si>
  <si>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</si>
  <si>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</si>
  <si>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</si>
  <si>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</si>
  <si>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</si>
  <si>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</si>
  <si>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</si>
  <si>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</si>
  <si>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</si>
  <si>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</si>
  <si>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</si>
  <si>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</si>
  <si>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</si>
  <si>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</si>
  <si>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</si>
  <si>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</si>
  <si>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</si>
  <si>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</si>
  <si>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</si>
  <si>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</si>
  <si>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</si>
  <si>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</si>
  <si>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</si>
  <si>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</si>
  <si>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</si>
  <si>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</si>
  <si>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</si>
  <si>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</si>
  <si>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</si>
  <si>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</si>
  <si>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</si>
  <si>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</si>
  <si>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</si>
  <si>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</si>
  <si>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</si>
  <si>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</si>
  <si>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</si>
  <si>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</si>
  <si>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</si>
  <si>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</si>
  <si>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</si>
  <si>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</si>
  <si>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</si>
  <si>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</si>
  <si>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</si>
  <si>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</si>
  <si>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</si>
  <si>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</si>
  <si>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</si>
  <si>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</si>
  <si>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</si>
  <si>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</si>
  <si>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</si>
  <si>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</si>
  <si>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</si>
  <si>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</si>
  <si>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</si>
  <si>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</si>
  <si>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</si>
  <si>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</si>
  <si>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</si>
  <si>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</si>
  <si>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</si>
  <si>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</si>
  <si>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</si>
  <si>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</si>
  <si>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</si>
  <si>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</si>
  <si>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</si>
  <si>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</si>
  <si>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</si>
  <si>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</si>
  <si>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</si>
  <si>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</si>
  <si>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</si>
  <si>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</si>
  <si>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</si>
  <si>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</si>
  <si>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</si>
  <si>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</si>
  <si>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</si>
  <si>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</si>
  <si>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</si>
  <si>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</si>
  <si>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</si>
  <si>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</si>
  <si>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</si>
  <si>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</si>
  <si>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</si>
  <si>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</si>
  <si>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</si>
  <si>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</si>
  <si>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</si>
  <si>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</si>
  <si>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</si>
  <si>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</si>
  <si>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</si>
  <si>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</si>
  <si>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</si>
  <si>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</si>
  <si>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</si>
  <si>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</si>
  <si>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</si>
  <si>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</si>
  <si>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</si>
  <si>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</si>
  <si>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</si>
  <si>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</si>
  <si>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</si>
  <si>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</si>
  <si>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</si>
  <si>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</si>
  <si>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</si>
  <si>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</si>
  <si>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</si>
  <si>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</si>
  <si>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</si>
  <si>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</si>
  <si>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</si>
  <si>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</si>
  <si>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</si>
  <si>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</si>
  <si>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</si>
  <si>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</si>
  <si>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</si>
  <si>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</si>
  <si>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</si>
  <si>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</si>
  <si>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</si>
  <si>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</si>
  <si>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</si>
  <si>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</si>
  <si>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</si>
  <si>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</si>
  <si>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</si>
  <si>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</si>
  <si>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</si>
  <si>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</si>
  <si>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</si>
  <si>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</si>
  <si>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</si>
  <si>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</si>
  <si>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</si>
  <si>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</si>
  <si>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</si>
  <si>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</si>
  <si>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</si>
  <si>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</si>
  <si>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</si>
  <si>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</si>
  <si>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</si>
  <si>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</si>
  <si>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</si>
  <si>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</si>
  <si>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</si>
  <si>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</si>
  <si>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</si>
  <si>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</si>
  <si>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</si>
  <si>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</si>
  <si>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</si>
  <si>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</si>
  <si>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</si>
  <si>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</si>
  <si>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</si>
  <si>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</si>
  <si>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</si>
  <si>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</si>
  <si>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</si>
  <si>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</si>
  <si>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</si>
  <si>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</si>
  <si>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</si>
  <si>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</si>
  <si>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</si>
  <si>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</si>
  <si>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</si>
  <si>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</si>
  <si>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</si>
  <si>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</si>
  <si>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</si>
  <si>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</si>
  <si>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</si>
  <si>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</si>
  <si>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</si>
  <si>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</si>
  <si>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</si>
  <si>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</si>
  <si>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</si>
  <si>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</si>
  <si>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</si>
  <si>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</si>
  <si>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</si>
  <si>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</si>
  <si>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</si>
  <si>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</si>
  <si>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</si>
  <si>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</si>
  <si>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</si>
  <si>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</si>
  <si>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</si>
  <si>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</si>
  <si>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</si>
  <si>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</si>
  <si>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</si>
  <si>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</si>
  <si>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</si>
  <si>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</si>
  <si>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</si>
  <si>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</si>
  <si>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</si>
  <si>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</si>
  <si>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</si>
  <si>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</si>
  <si>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</si>
  <si>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</si>
  <si>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</si>
  <si>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</si>
  <si>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</si>
  <si>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</si>
  <si>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</si>
  <si>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</si>
  <si>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</si>
  <si>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</si>
  <si>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</si>
  <si>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</si>
  <si>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</si>
  <si>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</si>
  <si>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</si>
  <si>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</si>
  <si>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</si>
  <si>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</si>
  <si>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</si>
  <si>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</si>
  <si>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</si>
  <si>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</si>
  <si>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</si>
  <si>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</si>
  <si>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</si>
  <si>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</si>
  <si>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</si>
  <si>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</si>
  <si>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</si>
  <si>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</si>
  <si>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</si>
  <si>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</si>
  <si>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</si>
  <si>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</si>
  <si>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</si>
  <si>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</si>
  <si>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</si>
  <si>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</si>
  <si>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</si>
  <si>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</si>
  <si>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</si>
  <si>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</si>
  <si>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</si>
  <si>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</si>
  <si>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</si>
  <si>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</si>
  <si>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</si>
  <si>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</si>
  <si>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</si>
  <si>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</si>
  <si>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</si>
  <si>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</si>
  <si>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</si>
  <si>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</si>
  <si>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</si>
  <si>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</si>
  <si>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</si>
  <si>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</si>
  <si>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</si>
  <si>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</si>
  <si>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</si>
  <si>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</si>
  <si>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</si>
  <si>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</si>
  <si>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</si>
  <si>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</si>
  <si>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</si>
  <si>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</si>
  <si>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</si>
  <si>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</si>
  <si>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</si>
  <si>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</si>
  <si>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</si>
  <si>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</si>
  <si>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</si>
  <si>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</si>
  <si>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</si>
  <si>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</si>
  <si>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</si>
  <si>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</si>
  <si>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</si>
  <si>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</si>
  <si>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</si>
  <si>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</si>
  <si>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</si>
  <si>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</si>
  <si>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</si>
  <si>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</si>
  <si>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</si>
  <si>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</si>
  <si>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</si>
  <si>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</si>
  <si>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</si>
  <si>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</si>
  <si>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</si>
  <si>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</si>
  <si>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</si>
  <si>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</si>
  <si>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</si>
  <si>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</si>
  <si>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</si>
  <si>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</si>
  <si>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</si>
  <si>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</si>
  <si>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</si>
  <si>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</si>
  <si>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</si>
  <si>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</si>
  <si>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</si>
  <si>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</si>
  <si>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</si>
  <si>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</si>
  <si>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</si>
  <si>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</si>
  <si>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</si>
  <si>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</si>
  <si>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</si>
  <si>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</si>
  <si>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</si>
  <si>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</si>
  <si>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</si>
  <si>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</si>
  <si>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</si>
  <si>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</si>
  <si>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</si>
  <si>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</si>
  <si>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</si>
  <si>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</si>
  <si>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</si>
  <si>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</si>
  <si>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</si>
  <si>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</si>
  <si>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</si>
  <si>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</si>
  <si>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</si>
  <si>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</si>
  <si>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</si>
  <si>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</si>
  <si>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</si>
  <si>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</si>
  <si>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</si>
  <si>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</si>
  <si>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</si>
  <si>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</si>
  <si>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</si>
  <si>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</si>
  <si>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</si>
  <si>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</si>
  <si>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</si>
  <si>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</si>
  <si>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</si>
  <si>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</si>
  <si>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</si>
  <si>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</si>
  <si>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</si>
  <si>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</si>
  <si>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</si>
  <si>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</si>
  <si>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</si>
  <si>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</si>
  <si>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</si>
  <si>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</si>
  <si>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</si>
  <si>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</si>
  <si>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</si>
  <si>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</si>
  <si>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</si>
  <si>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</si>
  <si>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</si>
  <si>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</si>
  <si>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</si>
  <si>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</si>
  <si>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Tenure</t>
  </si>
  <si>
    <t>Tenure Group</t>
  </si>
  <si>
    <t>Emerging</t>
  </si>
  <si>
    <t>Loyal</t>
  </si>
  <si>
    <t>Legacy</t>
  </si>
  <si>
    <t>New</t>
  </si>
  <si>
    <t>Count of CustomerID</t>
  </si>
  <si>
    <t>Average of Income</t>
  </si>
  <si>
    <t>Average of Tenure</t>
  </si>
  <si>
    <t>Average of Age</t>
  </si>
  <si>
    <t>Row Labels</t>
  </si>
  <si>
    <t>Column Labels</t>
  </si>
  <si>
    <t>CUSTOMER BY GENDER</t>
  </si>
  <si>
    <t>CUSTOMER BY AGE GROUP</t>
  </si>
  <si>
    <t>CUSTOMER BY TENURE</t>
  </si>
  <si>
    <t>CUSTOMER GROWTH</t>
  </si>
  <si>
    <t>Year</t>
  </si>
  <si>
    <t>CUSTOMER BY OCCUPATION</t>
  </si>
  <si>
    <t>CUSTOMER BY INCOME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</si>
</sst>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quot;K&quot;"/>
  </numFmts>
  <fonts count="4" x14ac:knownFonts="1">
    <font>
      <sz val="11"/>
      <color theme="1"/>
      <name val="Aptos Narrow"/>
      <family val="2"/>
      <scheme val="minor"/>
    </font>
    <font>
      <sz val="11"/>
      <color theme="1"/>
      <name val="Aptos Narrow"/>
      <family val="2"/>
      <scheme val="minor"/>
    </font>
    <font>
      <sz val="8"/>
      <name val="Aptos Narrow"/>
      <family val="2"/>
      <scheme val="minor"/>
    </font>
    <font>
      <sz val="11"/>
      <color rgb="FFFFC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1"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10" fontId="0" fillId="0" borderId="0" xfId="0" applyNumberFormat="1" applyAlignment="1">
      <alignment horizontal="center"/>
    </xf>
    <xf numFmtId="9" fontId="0" fillId="0" borderId="0" xfId="0" applyNumberFormat="1" applyAlignment="1">
      <alignment horizontal="center"/>
    </xf>
    <xf numFmtId="164" fontId="0" fillId="0" borderId="0" xfId="0" applyNumberFormat="1" applyAlignment="1">
      <alignment horizontal="center"/>
    </xf>
    <xf numFmtId="9" fontId="0" fillId="0" borderId="0" xfId="1" applyFont="1" applyAlignment="1">
      <alignment horizontal="center"/>
    </xf>
    <xf numFmtId="0" fontId="3" fillId="3" borderId="0" xfId="0" applyFont="1" applyFill="1"/>
    <xf numFmtId="0" fontId="0" fillId="2" borderId="0" xfId="0" applyFill="1" applyAlignment="1">
      <alignment horizontal="center"/>
    </xf>
  </cellXfs>
  <cellStyles count="2">
    <cellStyle name="Normal" xfId="0" builtinId="0"/>
    <cellStyle name="Percent" xfId="1" builtinId="5"/>
  </cellStyles>
  <dxfs count="33">
    <dxf>
      <numFmt numFmtId="14" formatCode="0.00%"/>
    </dxf>
    <dxf>
      <numFmt numFmtId="13" formatCode="0%"/>
    </dxf>
    <dxf>
      <alignment horizontal="center"/>
    </dxf>
    <dxf>
      <alignment horizontal="center"/>
    </dxf>
    <dxf>
      <numFmt numFmtId="1" formatCode="0"/>
    </dxf>
    <dxf>
      <alignment horizontal="center"/>
    </dxf>
    <dxf>
      <numFmt numFmtId="1" formatCode="0"/>
    </dxf>
    <dxf>
      <alignment horizontal="center"/>
    </dxf>
    <dxf>
      <numFmt numFmtId="164" formatCode="&quot;$&quot;0.0,&quot;K&quot;"/>
    </dxf>
    <dxf>
      <alignment horizontal="center"/>
    </dxf>
    <dxf>
      <numFmt numFmtId="0" formatCode="General"/>
    </dxf>
    <dxf>
      <numFmt numFmtId="13" formatCode="0%"/>
    </dxf>
    <dxf>
      <alignment horizontal="center"/>
    </dxf>
    <dxf>
      <numFmt numFmtId="0" formatCode="General"/>
    </dxf>
    <dxf>
      <numFmt numFmtId="13" formatCode="0%"/>
    </dxf>
    <dxf>
      <alignment horizontal="center"/>
    </dxf>
    <dxf>
      <numFmt numFmtId="0" formatCode="General"/>
    </dxf>
    <dxf>
      <numFmt numFmtId="13" formatCode="0%"/>
    </dxf>
    <dxf>
      <alignment horizontal="center"/>
    </dxf>
    <dxf>
      <numFmt numFmtId="0" formatCode="General"/>
    </dxf>
    <dxf>
      <numFmt numFmtId="13" formatCode="0%"/>
    </dxf>
    <dxf>
      <alignment horizontal="center"/>
    </dxf>
    <dxf>
      <numFmt numFmtId="13" formatCode="0%"/>
    </dxf>
    <dxf>
      <numFmt numFmtId="14" formatCode="0.00%"/>
    </dxf>
    <dxf>
      <alignment horizontal="center"/>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0F0F0"/>
        </patternFill>
      </fill>
      <border diagonalUp="0" diagonalDown="0">
        <left/>
        <right/>
        <top/>
        <bottom/>
        <vertical/>
        <horizontal/>
      </border>
    </dxf>
  </dxfs>
  <tableStyles count="1" defaultTableStyle="TableStyleMedium2" defaultPivotStyle="PivotStyleLight16">
    <tableStyle name="Slicer Style 1" pivot="0" table="0" count="2" xr9:uid="{EEAAB1F6-1AF3-44E7-9639-E829DEA086AD}">
      <tableStyleElement type="wholeTable" dxfId="32"/>
    </tableStyle>
  </tableStyles>
  <colors>
    <mruColors>
      <color rgb="FFFFFFFF"/>
      <color rgb="FF02403D"/>
      <color rgb="FFF0F0F0"/>
      <color rgb="FF134E4C"/>
      <color rgb="FFDFDFDF"/>
    </mruColors>
  </colors>
  <extLst>
    <ext xmlns:x14="http://schemas.microsoft.com/office/spreadsheetml/2009/9/main" uri="{46F421CA-312F-682f-3DD2-61675219B42D}">
      <x14:dxfs count="1">
        <dxf>
          <font>
            <sz val="10"/>
            <color rgb="FF02403D"/>
          </font>
          <fill>
            <patternFill>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Breakdown!$C$17:$C$18</c:f>
              <c:strCache>
                <c:ptCount val="1"/>
                <c:pt idx="0">
                  <c:v>Female</c:v>
                </c:pt>
              </c:strCache>
            </c:strRef>
          </c:tx>
          <c:spPr>
            <a:solidFill>
              <a:srgbClr val="134E4C"/>
            </a:solidFill>
            <a:ln>
              <a:noFill/>
            </a:ln>
            <a:effectLst/>
          </c:spPr>
          <c:invertIfNegative val="0"/>
          <c:cat>
            <c:strRef>
              <c:f>Breakdown!$B$19:$B$22</c:f>
              <c:strCache>
                <c:ptCount val="4"/>
                <c:pt idx="0">
                  <c:v>Boomers</c:v>
                </c:pt>
                <c:pt idx="1">
                  <c:v>Gen X</c:v>
                </c:pt>
                <c:pt idx="2">
                  <c:v>Gen Z</c:v>
                </c:pt>
                <c:pt idx="3">
                  <c:v>Millennials</c:v>
                </c:pt>
              </c:strCache>
            </c:strRef>
          </c:cat>
          <c:val>
            <c:numRef>
              <c:f>Breakdown!$C$19:$C$22</c:f>
              <c:numCache>
                <c:formatCode>General</c:formatCode>
                <c:ptCount val="4"/>
                <c:pt idx="0">
                  <c:v>76</c:v>
                </c:pt>
                <c:pt idx="1">
                  <c:v>70</c:v>
                </c:pt>
                <c:pt idx="2">
                  <c:v>39</c:v>
                </c:pt>
                <c:pt idx="3">
                  <c:v>71</c:v>
                </c:pt>
              </c:numCache>
            </c:numRef>
          </c:val>
          <c:extLst>
            <c:ext xmlns:c16="http://schemas.microsoft.com/office/drawing/2014/chart" uri="{C3380CC4-5D6E-409C-BE32-E72D297353CC}">
              <c16:uniqueId val="{00000000-C076-4CC7-B93E-1A8019AEEC43}"/>
            </c:ext>
          </c:extLst>
        </c:ser>
        <c:ser>
          <c:idx val="1"/>
          <c:order val="1"/>
          <c:tx>
            <c:strRef>
              <c:f>Breakdown!$D$17:$D$18</c:f>
              <c:strCache>
                <c:ptCount val="1"/>
                <c:pt idx="0">
                  <c:v>Male</c:v>
                </c:pt>
              </c:strCache>
            </c:strRef>
          </c:tx>
          <c:spPr>
            <a:solidFill>
              <a:srgbClr val="DFDFDF"/>
            </a:solidFill>
            <a:ln>
              <a:noFill/>
            </a:ln>
            <a:effectLst/>
          </c:spPr>
          <c:invertIfNegative val="0"/>
          <c:cat>
            <c:strRef>
              <c:f>Breakdown!$B$19:$B$22</c:f>
              <c:strCache>
                <c:ptCount val="4"/>
                <c:pt idx="0">
                  <c:v>Boomers</c:v>
                </c:pt>
                <c:pt idx="1">
                  <c:v>Gen X</c:v>
                </c:pt>
                <c:pt idx="2">
                  <c:v>Gen Z</c:v>
                </c:pt>
                <c:pt idx="3">
                  <c:v>Millennials</c:v>
                </c:pt>
              </c:strCache>
            </c:strRef>
          </c:cat>
          <c:val>
            <c:numRef>
              <c:f>Breakdown!$D$19:$D$22</c:f>
              <c:numCache>
                <c:formatCode>General</c:formatCode>
                <c:ptCount val="4"/>
                <c:pt idx="0">
                  <c:v>50</c:v>
                </c:pt>
                <c:pt idx="1">
                  <c:v>71</c:v>
                </c:pt>
                <c:pt idx="2">
                  <c:v>47</c:v>
                </c:pt>
                <c:pt idx="3">
                  <c:v>76</c:v>
                </c:pt>
              </c:numCache>
            </c:numRef>
          </c:val>
          <c:extLst>
            <c:ext xmlns:c16="http://schemas.microsoft.com/office/drawing/2014/chart" uri="{C3380CC4-5D6E-409C-BE32-E72D297353CC}">
              <c16:uniqueId val="{00000001-C076-4CC7-B93E-1A8019AEEC43}"/>
            </c:ext>
          </c:extLst>
        </c:ser>
        <c:dLbls>
          <c:showLegendKey val="0"/>
          <c:showVal val="0"/>
          <c:showCatName val="0"/>
          <c:showSerName val="0"/>
          <c:showPercent val="0"/>
          <c:showBubbleSize val="0"/>
        </c:dLbls>
        <c:gapWidth val="219"/>
        <c:overlap val="39"/>
        <c:axId val="93806815"/>
        <c:axId val="93808735"/>
      </c:barChart>
      <c:catAx>
        <c:axId val="938068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8735"/>
        <c:crosses val="autoZero"/>
        <c:auto val="1"/>
        <c:lblAlgn val="ctr"/>
        <c:lblOffset val="100"/>
        <c:noMultiLvlLbl val="0"/>
      </c:catAx>
      <c:valAx>
        <c:axId val="93808735"/>
        <c:scaling>
          <c:orientation val="minMax"/>
        </c:scaling>
        <c:delete val="1"/>
        <c:axPos val="l"/>
        <c:numFmt formatCode="General" sourceLinked="1"/>
        <c:majorTickMark val="none"/>
        <c:minorTickMark val="none"/>
        <c:tickLblPos val="nextTo"/>
        <c:crossAx val="93806815"/>
        <c:crosses val="autoZero"/>
        <c:crossBetween val="between"/>
      </c:valAx>
      <c:spPr>
        <a:noFill/>
        <a:ln>
          <a:noFill/>
        </a:ln>
        <a:effectLst/>
      </c:spPr>
    </c:plotArea>
    <c:legend>
      <c:legendPos val="t"/>
      <c:layout>
        <c:manualLayout>
          <c:xMode val="edge"/>
          <c:yMode val="edge"/>
          <c:x val="0.61379130274515425"/>
          <c:y val="3.240716405776381E-2"/>
          <c:w val="0.36453552863759398"/>
          <c:h val="0.13875508552085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Segmentation.xlsx]Breakdown!PivotTable7</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4E4C"/>
          </a:solidFill>
          <a:ln w="19050">
            <a:noFill/>
          </a:ln>
          <a:effectLst/>
        </c:spPr>
      </c:pivotFmt>
      <c:pivotFmt>
        <c:idx val="2"/>
        <c:spPr>
          <a:solidFill>
            <a:srgbClr val="134E4C">
              <a:alpha val="80000"/>
            </a:srgbClr>
          </a:solidFill>
          <a:ln w="19050">
            <a:noFill/>
          </a:ln>
          <a:effectLst/>
        </c:spPr>
      </c:pivotFmt>
      <c:pivotFmt>
        <c:idx val="3"/>
        <c:spPr>
          <a:solidFill>
            <a:srgbClr val="134E4C">
              <a:alpha val="30000"/>
            </a:srgbClr>
          </a:solidFill>
          <a:ln w="19050">
            <a:noFill/>
          </a:ln>
          <a:effectLst/>
        </c:spPr>
      </c:pivotFmt>
      <c:pivotFmt>
        <c:idx val="4"/>
        <c:spPr>
          <a:solidFill>
            <a:srgbClr val="DFDFDF"/>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4E4C">
              <a:alpha val="30000"/>
            </a:srgbClr>
          </a:solidFill>
          <a:ln w="19050">
            <a:noFill/>
          </a:ln>
          <a:effectLst/>
        </c:spPr>
      </c:pivotFmt>
      <c:pivotFmt>
        <c:idx val="7"/>
        <c:spPr>
          <a:solidFill>
            <a:srgbClr val="134E4C">
              <a:alpha val="80000"/>
            </a:srgbClr>
          </a:solidFill>
          <a:ln w="19050">
            <a:noFill/>
          </a:ln>
          <a:effectLst/>
        </c:spPr>
      </c:pivotFmt>
      <c:pivotFmt>
        <c:idx val="8"/>
        <c:spPr>
          <a:solidFill>
            <a:srgbClr val="134E4C"/>
          </a:solidFill>
          <a:ln w="19050">
            <a:noFill/>
          </a:ln>
          <a:effectLst/>
        </c:spPr>
      </c:pivotFmt>
      <c:pivotFmt>
        <c:idx val="9"/>
        <c:spPr>
          <a:solidFill>
            <a:srgbClr val="DFDFDF"/>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34E4C">
              <a:alpha val="30000"/>
            </a:srgbClr>
          </a:solidFill>
          <a:ln w="19050">
            <a:noFill/>
          </a:ln>
          <a:effectLst/>
        </c:spPr>
      </c:pivotFmt>
      <c:pivotFmt>
        <c:idx val="12"/>
        <c:spPr>
          <a:solidFill>
            <a:srgbClr val="134E4C">
              <a:alpha val="80000"/>
            </a:srgbClr>
          </a:solidFill>
          <a:ln w="19050">
            <a:noFill/>
          </a:ln>
          <a:effectLst/>
        </c:spPr>
      </c:pivotFmt>
      <c:pivotFmt>
        <c:idx val="13"/>
        <c:spPr>
          <a:solidFill>
            <a:srgbClr val="134E4C"/>
          </a:solidFill>
          <a:ln w="19050">
            <a:noFill/>
          </a:ln>
          <a:effectLst/>
        </c:spPr>
      </c:pivotFmt>
      <c:pivotFmt>
        <c:idx val="14"/>
        <c:spPr>
          <a:solidFill>
            <a:srgbClr val="DFDFDF"/>
          </a:solidFill>
          <a:ln w="19050">
            <a:noFill/>
          </a:ln>
          <a:effectLst/>
        </c:spPr>
      </c:pivotFmt>
    </c:pivotFmts>
    <c:plotArea>
      <c:layout>
        <c:manualLayout>
          <c:layoutTarget val="inner"/>
          <c:xMode val="edge"/>
          <c:yMode val="edge"/>
          <c:x val="0.22062758210269587"/>
          <c:y val="7.2365445499773862E-2"/>
          <c:w val="0.38685015290519875"/>
          <c:h val="0.80099502487562191"/>
        </c:manualLayout>
      </c:layout>
      <c:doughnutChart>
        <c:varyColors val="1"/>
        <c:ser>
          <c:idx val="0"/>
          <c:order val="0"/>
          <c:tx>
            <c:strRef>
              <c:f>Breakdown!$G$11</c:f>
              <c:strCache>
                <c:ptCount val="1"/>
                <c:pt idx="0">
                  <c:v>Total</c:v>
                </c:pt>
              </c:strCache>
            </c:strRef>
          </c:tx>
          <c:spPr>
            <a:ln>
              <a:noFill/>
            </a:ln>
          </c:spPr>
          <c:dPt>
            <c:idx val="0"/>
            <c:bubble3D val="0"/>
            <c:spPr>
              <a:solidFill>
                <a:srgbClr val="134E4C">
                  <a:alpha val="30000"/>
                </a:srgbClr>
              </a:solidFill>
              <a:ln w="19050">
                <a:noFill/>
              </a:ln>
              <a:effectLst/>
            </c:spPr>
            <c:extLst>
              <c:ext xmlns:c16="http://schemas.microsoft.com/office/drawing/2014/chart" uri="{C3380CC4-5D6E-409C-BE32-E72D297353CC}">
                <c16:uniqueId val="{00000001-ED65-4247-A53F-D2559071998D}"/>
              </c:ext>
            </c:extLst>
          </c:dPt>
          <c:dPt>
            <c:idx val="1"/>
            <c:bubble3D val="0"/>
            <c:spPr>
              <a:solidFill>
                <a:srgbClr val="134E4C">
                  <a:alpha val="80000"/>
                </a:srgbClr>
              </a:solidFill>
              <a:ln w="19050">
                <a:noFill/>
              </a:ln>
              <a:effectLst/>
            </c:spPr>
            <c:extLst>
              <c:ext xmlns:c16="http://schemas.microsoft.com/office/drawing/2014/chart" uri="{C3380CC4-5D6E-409C-BE32-E72D297353CC}">
                <c16:uniqueId val="{00000003-ED65-4247-A53F-D2559071998D}"/>
              </c:ext>
            </c:extLst>
          </c:dPt>
          <c:dPt>
            <c:idx val="2"/>
            <c:bubble3D val="0"/>
            <c:spPr>
              <a:solidFill>
                <a:srgbClr val="134E4C"/>
              </a:solidFill>
              <a:ln w="19050">
                <a:noFill/>
              </a:ln>
              <a:effectLst/>
            </c:spPr>
            <c:extLst>
              <c:ext xmlns:c16="http://schemas.microsoft.com/office/drawing/2014/chart" uri="{C3380CC4-5D6E-409C-BE32-E72D297353CC}">
                <c16:uniqueId val="{00000005-ED65-4247-A53F-D2559071998D}"/>
              </c:ext>
            </c:extLst>
          </c:dPt>
          <c:dPt>
            <c:idx val="3"/>
            <c:bubble3D val="0"/>
            <c:spPr>
              <a:solidFill>
                <a:srgbClr val="DFDFDF"/>
              </a:solidFill>
              <a:ln w="19050">
                <a:noFill/>
              </a:ln>
              <a:effectLst/>
            </c:spPr>
            <c:extLst>
              <c:ext xmlns:c16="http://schemas.microsoft.com/office/drawing/2014/chart" uri="{C3380CC4-5D6E-409C-BE32-E72D297353CC}">
                <c16:uniqueId val="{00000007-ED65-4247-A53F-D2559071998D}"/>
              </c:ext>
            </c:extLst>
          </c:dPt>
          <c:cat>
            <c:strRef>
              <c:f>Breakdown!$F$12:$F$15</c:f>
              <c:strCache>
                <c:ptCount val="4"/>
                <c:pt idx="0">
                  <c:v>Emerging</c:v>
                </c:pt>
                <c:pt idx="1">
                  <c:v>Legacy</c:v>
                </c:pt>
                <c:pt idx="2">
                  <c:v>Loyal</c:v>
                </c:pt>
                <c:pt idx="3">
                  <c:v>New</c:v>
                </c:pt>
              </c:strCache>
            </c:strRef>
          </c:cat>
          <c:val>
            <c:numRef>
              <c:f>Breakdown!$G$12:$G$15</c:f>
              <c:numCache>
                <c:formatCode>0.00%</c:formatCode>
                <c:ptCount val="4"/>
                <c:pt idx="0">
                  <c:v>0.19600000000000001</c:v>
                </c:pt>
                <c:pt idx="1">
                  <c:v>0.27400000000000002</c:v>
                </c:pt>
                <c:pt idx="2">
                  <c:v>0.39600000000000002</c:v>
                </c:pt>
                <c:pt idx="3">
                  <c:v>0.13400000000000001</c:v>
                </c:pt>
              </c:numCache>
            </c:numRef>
          </c:val>
          <c:extLst>
            <c:ext xmlns:c16="http://schemas.microsoft.com/office/drawing/2014/chart" uri="{C3380CC4-5D6E-409C-BE32-E72D297353CC}">
              <c16:uniqueId val="{00000008-ED65-4247-A53F-D2559071998D}"/>
            </c:ext>
          </c:extLst>
        </c:ser>
        <c:dLbls>
          <c:showLegendKey val="0"/>
          <c:showVal val="0"/>
          <c:showCatName val="0"/>
          <c:showSerName val="0"/>
          <c:showPercent val="0"/>
          <c:showBubbleSize val="0"/>
          <c:showLeaderLines val="1"/>
        </c:dLbls>
        <c:firstSliceAng val="0"/>
        <c:holeSize val="84"/>
      </c:doughnutChart>
      <c:spPr>
        <a:noFill/>
        <a:ln>
          <a:noFill/>
        </a:ln>
        <a:effectLst/>
      </c:spPr>
    </c:plotArea>
    <c:legend>
      <c:legendPos val="r"/>
      <c:layout>
        <c:manualLayout>
          <c:xMode val="edge"/>
          <c:yMode val="edge"/>
          <c:x val="0.7145185980192843"/>
          <c:y val="0.19470578389370258"/>
          <c:w val="0.21558188253991187"/>
          <c:h val="0.61058771995427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Breakdown!$G$19:$G$20</c:f>
              <c:strCache>
                <c:ptCount val="1"/>
                <c:pt idx="0">
                  <c:v>Female</c:v>
                </c:pt>
              </c:strCache>
            </c:strRef>
          </c:tx>
          <c:spPr>
            <a:solidFill>
              <a:srgbClr val="134E4C"/>
            </a:solidFill>
            <a:ln>
              <a:noFill/>
            </a:ln>
            <a:effectLst/>
          </c:spPr>
          <c:invertIfNegative val="0"/>
          <c:cat>
            <c:strRef>
              <c:f>Breakdown!$F$21:$F$23</c:f>
              <c:strCache>
                <c:ptCount val="3"/>
                <c:pt idx="0">
                  <c:v>Medium</c:v>
                </c:pt>
                <c:pt idx="1">
                  <c:v>High</c:v>
                </c:pt>
                <c:pt idx="2">
                  <c:v>Low</c:v>
                </c:pt>
              </c:strCache>
            </c:strRef>
          </c:cat>
          <c:val>
            <c:numRef>
              <c:f>Breakdown!$G$21:$G$23</c:f>
              <c:numCache>
                <c:formatCode>General</c:formatCode>
                <c:ptCount val="3"/>
                <c:pt idx="0">
                  <c:v>67</c:v>
                </c:pt>
                <c:pt idx="1">
                  <c:v>81</c:v>
                </c:pt>
                <c:pt idx="2">
                  <c:v>108</c:v>
                </c:pt>
              </c:numCache>
            </c:numRef>
          </c:val>
          <c:extLst>
            <c:ext xmlns:c16="http://schemas.microsoft.com/office/drawing/2014/chart" uri="{C3380CC4-5D6E-409C-BE32-E72D297353CC}">
              <c16:uniqueId val="{00000000-B575-46F7-9E73-EF27EE82E2E6}"/>
            </c:ext>
          </c:extLst>
        </c:ser>
        <c:ser>
          <c:idx val="1"/>
          <c:order val="1"/>
          <c:tx>
            <c:strRef>
              <c:f>Breakdown!$H$19:$H$20</c:f>
              <c:strCache>
                <c:ptCount val="1"/>
                <c:pt idx="0">
                  <c:v>Male</c:v>
                </c:pt>
              </c:strCache>
            </c:strRef>
          </c:tx>
          <c:spPr>
            <a:solidFill>
              <a:srgbClr val="DFDFDF"/>
            </a:solidFill>
            <a:ln>
              <a:noFill/>
            </a:ln>
            <a:effectLst/>
          </c:spPr>
          <c:invertIfNegative val="0"/>
          <c:cat>
            <c:strRef>
              <c:f>Breakdown!$F$21:$F$23</c:f>
              <c:strCache>
                <c:ptCount val="3"/>
                <c:pt idx="0">
                  <c:v>Medium</c:v>
                </c:pt>
                <c:pt idx="1">
                  <c:v>High</c:v>
                </c:pt>
                <c:pt idx="2">
                  <c:v>Low</c:v>
                </c:pt>
              </c:strCache>
            </c:strRef>
          </c:cat>
          <c:val>
            <c:numRef>
              <c:f>Breakdown!$H$21:$H$23</c:f>
              <c:numCache>
                <c:formatCode>General</c:formatCode>
                <c:ptCount val="3"/>
                <c:pt idx="0">
                  <c:v>69</c:v>
                </c:pt>
                <c:pt idx="1">
                  <c:v>72</c:v>
                </c:pt>
                <c:pt idx="2">
                  <c:v>103</c:v>
                </c:pt>
              </c:numCache>
            </c:numRef>
          </c:val>
          <c:extLst>
            <c:ext xmlns:c16="http://schemas.microsoft.com/office/drawing/2014/chart" uri="{C3380CC4-5D6E-409C-BE32-E72D297353CC}">
              <c16:uniqueId val="{00000001-B575-46F7-9E73-EF27EE82E2E6}"/>
            </c:ext>
          </c:extLst>
        </c:ser>
        <c:dLbls>
          <c:showLegendKey val="0"/>
          <c:showVal val="0"/>
          <c:showCatName val="0"/>
          <c:showSerName val="0"/>
          <c:showPercent val="0"/>
          <c:showBubbleSize val="0"/>
        </c:dLbls>
        <c:gapWidth val="168"/>
        <c:overlap val="24"/>
        <c:axId val="93828895"/>
        <c:axId val="93824575"/>
      </c:barChart>
      <c:catAx>
        <c:axId val="938288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4575"/>
        <c:crosses val="autoZero"/>
        <c:auto val="1"/>
        <c:lblAlgn val="ctr"/>
        <c:lblOffset val="100"/>
        <c:noMultiLvlLbl val="0"/>
      </c:catAx>
      <c:valAx>
        <c:axId val="93824575"/>
        <c:scaling>
          <c:orientation val="minMax"/>
        </c:scaling>
        <c:delete val="1"/>
        <c:axPos val="b"/>
        <c:numFmt formatCode="General" sourceLinked="1"/>
        <c:majorTickMark val="none"/>
        <c:minorTickMark val="none"/>
        <c:tickLblPos val="nextTo"/>
        <c:crossAx val="9382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Segmentation.xlsx]Breakdown!PivotTable8</c:name>
    <c:fmtId val="3"/>
  </c:pivotSource>
  <c:chart>
    <c:autoTitleDeleted val="1"/>
    <c:pivotFmts>
      <c:pivotFmt>
        <c:idx val="0"/>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Breakdown!$K$11</c:f>
              <c:strCache>
                <c:ptCount val="1"/>
                <c:pt idx="0">
                  <c:v>Total</c:v>
                </c:pt>
              </c:strCache>
            </c:strRef>
          </c:tx>
          <c:spPr>
            <a:ln w="15875" cap="rnd">
              <a:solidFill>
                <a:srgbClr val="134E4C"/>
              </a:solidFill>
              <a:round/>
              <a:headEnd type="oval"/>
              <a:tailEnd type="oval"/>
            </a:ln>
            <a:effectLst/>
          </c:spPr>
          <c:marker>
            <c:symbol val="none"/>
          </c:marker>
          <c:cat>
            <c:strRef>
              <c:f>Breakdown!$J$12:$J$22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Breakdown!$K$12:$K$22</c:f>
              <c:numCache>
                <c:formatCode>General</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1"/>
          <c:extLst>
            <c:ext xmlns:c16="http://schemas.microsoft.com/office/drawing/2014/chart" uri="{C3380CC4-5D6E-409C-BE32-E72D297353CC}">
              <c16:uniqueId val="{00000000-522F-4605-ABE4-DBD20DE20342}"/>
            </c:ext>
          </c:extLst>
        </c:ser>
        <c:dLbls>
          <c:showLegendKey val="0"/>
          <c:showVal val="0"/>
          <c:showCatName val="0"/>
          <c:showSerName val="0"/>
          <c:showPercent val="0"/>
          <c:showBubbleSize val="0"/>
        </c:dLbls>
        <c:smooth val="0"/>
        <c:axId val="88757519"/>
        <c:axId val="88754639"/>
      </c:lineChart>
      <c:catAx>
        <c:axId val="88757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54639"/>
        <c:crosses val="autoZero"/>
        <c:auto val="1"/>
        <c:lblAlgn val="ctr"/>
        <c:lblOffset val="100"/>
        <c:noMultiLvlLbl val="0"/>
      </c:catAx>
      <c:valAx>
        <c:axId val="88754639"/>
        <c:scaling>
          <c:orientation val="minMax"/>
        </c:scaling>
        <c:delete val="1"/>
        <c:axPos val="l"/>
        <c:majorGridlines>
          <c:spPr>
            <a:ln w="3175" cap="flat" cmpd="sng" algn="ctr">
              <a:solidFill>
                <a:schemeClr val="tx1">
                  <a:lumMod val="15000"/>
                  <a:lumOff val="85000"/>
                </a:schemeClr>
              </a:solidFill>
              <a:round/>
            </a:ln>
            <a:effectLst/>
          </c:spPr>
        </c:majorGridlines>
        <c:numFmt formatCode="General" sourceLinked="1"/>
        <c:majorTickMark val="none"/>
        <c:minorTickMark val="none"/>
        <c:tickLblPos val="nextTo"/>
        <c:crossAx val="8875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Breakdown!$C$26:$C$27</c:f>
              <c:strCache>
                <c:ptCount val="1"/>
                <c:pt idx="0">
                  <c:v>Female</c:v>
                </c:pt>
              </c:strCache>
            </c:strRef>
          </c:tx>
          <c:spPr>
            <a:solidFill>
              <a:srgbClr val="134E4C"/>
            </a:solidFill>
            <a:ln>
              <a:noFill/>
            </a:ln>
            <a:effectLst/>
          </c:spPr>
          <c:invertIfNegative val="0"/>
          <c:cat>
            <c:strRef>
              <c:f>Breakdown!$B$28:$B$34</c:f>
              <c:strCache>
                <c:ptCount val="7"/>
                <c:pt idx="0">
                  <c:v>Banker</c:v>
                </c:pt>
                <c:pt idx="1">
                  <c:v>Doctor</c:v>
                </c:pt>
                <c:pt idx="2">
                  <c:v>Engineer</c:v>
                </c:pt>
                <c:pt idx="3">
                  <c:v>Retired</c:v>
                </c:pt>
                <c:pt idx="4">
                  <c:v>Student</c:v>
                </c:pt>
                <c:pt idx="5">
                  <c:v>Teacher</c:v>
                </c:pt>
                <c:pt idx="6">
                  <c:v>Trader</c:v>
                </c:pt>
              </c:strCache>
            </c:strRef>
          </c:cat>
          <c:val>
            <c:numRef>
              <c:f>Breakdown!$C$28:$C$34</c:f>
              <c:numCache>
                <c:formatCode>General</c:formatCode>
                <c:ptCount val="7"/>
                <c:pt idx="0">
                  <c:v>36</c:v>
                </c:pt>
                <c:pt idx="1">
                  <c:v>44</c:v>
                </c:pt>
                <c:pt idx="2">
                  <c:v>34</c:v>
                </c:pt>
                <c:pt idx="3">
                  <c:v>34</c:v>
                </c:pt>
                <c:pt idx="4">
                  <c:v>36</c:v>
                </c:pt>
                <c:pt idx="5">
                  <c:v>43</c:v>
                </c:pt>
                <c:pt idx="6">
                  <c:v>29</c:v>
                </c:pt>
              </c:numCache>
            </c:numRef>
          </c:val>
          <c:extLst>
            <c:ext xmlns:c16="http://schemas.microsoft.com/office/drawing/2014/chart" uri="{C3380CC4-5D6E-409C-BE32-E72D297353CC}">
              <c16:uniqueId val="{00000000-9E1F-4F4E-9712-91830E66245C}"/>
            </c:ext>
          </c:extLst>
        </c:ser>
        <c:ser>
          <c:idx val="1"/>
          <c:order val="1"/>
          <c:tx>
            <c:strRef>
              <c:f>Breakdown!$D$26:$D$27</c:f>
              <c:strCache>
                <c:ptCount val="1"/>
                <c:pt idx="0">
                  <c:v>Male</c:v>
                </c:pt>
              </c:strCache>
            </c:strRef>
          </c:tx>
          <c:spPr>
            <a:solidFill>
              <a:srgbClr val="DFDFDF"/>
            </a:solidFill>
            <a:ln>
              <a:noFill/>
            </a:ln>
            <a:effectLst/>
          </c:spPr>
          <c:invertIfNegative val="0"/>
          <c:cat>
            <c:strRef>
              <c:f>Breakdown!$B$28:$B$34</c:f>
              <c:strCache>
                <c:ptCount val="7"/>
                <c:pt idx="0">
                  <c:v>Banker</c:v>
                </c:pt>
                <c:pt idx="1">
                  <c:v>Doctor</c:v>
                </c:pt>
                <c:pt idx="2">
                  <c:v>Engineer</c:v>
                </c:pt>
                <c:pt idx="3">
                  <c:v>Retired</c:v>
                </c:pt>
                <c:pt idx="4">
                  <c:v>Student</c:v>
                </c:pt>
                <c:pt idx="5">
                  <c:v>Teacher</c:v>
                </c:pt>
                <c:pt idx="6">
                  <c:v>Trader</c:v>
                </c:pt>
              </c:strCache>
            </c:strRef>
          </c:cat>
          <c:val>
            <c:numRef>
              <c:f>Breakdown!$D$28:$D$34</c:f>
              <c:numCache>
                <c:formatCode>General</c:formatCode>
                <c:ptCount val="7"/>
                <c:pt idx="0">
                  <c:v>34</c:v>
                </c:pt>
                <c:pt idx="1">
                  <c:v>28</c:v>
                </c:pt>
                <c:pt idx="2">
                  <c:v>44</c:v>
                </c:pt>
                <c:pt idx="3">
                  <c:v>41</c:v>
                </c:pt>
                <c:pt idx="4">
                  <c:v>33</c:v>
                </c:pt>
                <c:pt idx="5">
                  <c:v>34</c:v>
                </c:pt>
                <c:pt idx="6">
                  <c:v>30</c:v>
                </c:pt>
              </c:numCache>
            </c:numRef>
          </c:val>
          <c:extLst>
            <c:ext xmlns:c16="http://schemas.microsoft.com/office/drawing/2014/chart" uri="{C3380CC4-5D6E-409C-BE32-E72D297353CC}">
              <c16:uniqueId val="{00000001-9E1F-4F4E-9712-91830E66245C}"/>
            </c:ext>
          </c:extLst>
        </c:ser>
        <c:dLbls>
          <c:showLegendKey val="0"/>
          <c:showVal val="0"/>
          <c:showCatName val="0"/>
          <c:showSerName val="0"/>
          <c:showPercent val="0"/>
          <c:showBubbleSize val="0"/>
        </c:dLbls>
        <c:gapWidth val="219"/>
        <c:overlap val="27"/>
        <c:axId val="93817855"/>
        <c:axId val="93802495"/>
      </c:barChart>
      <c:catAx>
        <c:axId val="938178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2495"/>
        <c:crosses val="autoZero"/>
        <c:auto val="1"/>
        <c:lblAlgn val="ctr"/>
        <c:lblOffset val="100"/>
        <c:noMultiLvlLbl val="0"/>
      </c:catAx>
      <c:valAx>
        <c:axId val="93802495"/>
        <c:scaling>
          <c:orientation val="minMax"/>
        </c:scaling>
        <c:delete val="1"/>
        <c:axPos val="l"/>
        <c:numFmt formatCode="General" sourceLinked="1"/>
        <c:majorTickMark val="none"/>
        <c:minorTickMark val="none"/>
        <c:tickLblPos val="nextTo"/>
        <c:crossAx val="9381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178903</xdr:colOff>
      <xdr:row>4</xdr:row>
      <xdr:rowOff>66675</xdr:rowOff>
    </xdr:from>
    <xdr:to>
      <xdr:col>23</xdr:col>
      <xdr:colOff>95249</xdr:colOff>
      <xdr:row>38</xdr:row>
      <xdr:rowOff>145774</xdr:rowOff>
    </xdr:to>
    <xdr:sp macro="" textlink="">
      <xdr:nvSpPr>
        <xdr:cNvPr id="2" name="Rectangle: Rounded Corners 1">
          <a:extLst>
            <a:ext uri="{FF2B5EF4-FFF2-40B4-BE49-F238E27FC236}">
              <a16:creationId xmlns:a16="http://schemas.microsoft.com/office/drawing/2014/main" id="{9EF10A2E-1247-C8E7-05B1-6A5DFEDCE8EF}"/>
            </a:ext>
          </a:extLst>
        </xdr:cNvPr>
        <xdr:cNvSpPr/>
      </xdr:nvSpPr>
      <xdr:spPr>
        <a:xfrm>
          <a:off x="5585790" y="755788"/>
          <a:ext cx="10054259" cy="5936560"/>
        </a:xfrm>
        <a:prstGeom prst="roundRect">
          <a:avLst>
            <a:gd name="adj" fmla="val 3664"/>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187158</xdr:colOff>
      <xdr:row>7</xdr:row>
      <xdr:rowOff>72598</xdr:rowOff>
    </xdr:from>
    <xdr:to>
      <xdr:col>23</xdr:col>
      <xdr:colOff>76200</xdr:colOff>
      <xdr:row>7</xdr:row>
      <xdr:rowOff>72598</xdr:rowOff>
    </xdr:to>
    <xdr:cxnSp macro="">
      <xdr:nvCxnSpPr>
        <xdr:cNvPr id="5" name="Straight Connector 4">
          <a:extLst>
            <a:ext uri="{FF2B5EF4-FFF2-40B4-BE49-F238E27FC236}">
              <a16:creationId xmlns:a16="http://schemas.microsoft.com/office/drawing/2014/main" id="{B0C30A6F-F37D-4A8C-056F-EB08699DE0A6}"/>
            </a:ext>
          </a:extLst>
        </xdr:cNvPr>
        <xdr:cNvCxnSpPr/>
      </xdr:nvCxnSpPr>
      <xdr:spPr>
        <a:xfrm flipV="1">
          <a:off x="5588000" y="1289124"/>
          <a:ext cx="10015621" cy="0"/>
        </a:xfrm>
        <a:prstGeom prst="line">
          <a:avLst/>
        </a:prstGeom>
        <a:ln w="3175">
          <a:solidFill>
            <a:schemeClr val="bg2">
              <a:lumMod val="50000"/>
              <a:alpha val="89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361950</xdr:colOff>
      <xdr:row>10</xdr:row>
      <xdr:rowOff>38099</xdr:rowOff>
    </xdr:from>
    <xdr:to>
      <xdr:col>22</xdr:col>
      <xdr:colOff>542693</xdr:colOff>
      <xdr:row>16</xdr:row>
      <xdr:rowOff>19050</xdr:rowOff>
    </xdr:to>
    <xdr:sp macro="" textlink="">
      <xdr:nvSpPr>
        <xdr:cNvPr id="9" name="Rectangle: Rounded Corners 8">
          <a:extLst>
            <a:ext uri="{FF2B5EF4-FFF2-40B4-BE49-F238E27FC236}">
              <a16:creationId xmlns:a16="http://schemas.microsoft.com/office/drawing/2014/main" id="{64D26A5D-070D-42DE-96FD-BC4E3978107E}"/>
            </a:ext>
          </a:extLst>
        </xdr:cNvPr>
        <xdr:cNvSpPr/>
      </xdr:nvSpPr>
      <xdr:spPr>
        <a:xfrm>
          <a:off x="5774009" y="1785123"/>
          <a:ext cx="9651845" cy="1029166"/>
        </a:xfrm>
        <a:prstGeom prst="roundRect">
          <a:avLst>
            <a:gd name="adj" fmla="val 20145"/>
          </a:avLst>
        </a:prstGeom>
        <a:solidFill>
          <a:srgbClr val="02403D"/>
        </a:solidFill>
        <a:ln>
          <a:noFill/>
        </a:ln>
        <a:effectLst>
          <a:outerShdw blurRad="63500" dist="38100" dir="27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476250</xdr:colOff>
      <xdr:row>10</xdr:row>
      <xdr:rowOff>161925</xdr:rowOff>
    </xdr:from>
    <xdr:to>
      <xdr:col>12</xdr:col>
      <xdr:colOff>57150</xdr:colOff>
      <xdr:row>15</xdr:row>
      <xdr:rowOff>104775</xdr:rowOff>
    </xdr:to>
    <xdr:sp macro="" textlink="">
      <xdr:nvSpPr>
        <xdr:cNvPr id="13" name="Rectangle: Rounded Corners 12">
          <a:extLst>
            <a:ext uri="{FF2B5EF4-FFF2-40B4-BE49-F238E27FC236}">
              <a16:creationId xmlns:a16="http://schemas.microsoft.com/office/drawing/2014/main" id="{E9F40BCA-E234-44F2-1BB7-200322B62BF1}"/>
            </a:ext>
          </a:extLst>
        </xdr:cNvPr>
        <xdr:cNvSpPr/>
      </xdr:nvSpPr>
      <xdr:spPr>
        <a:xfrm>
          <a:off x="5353050" y="1971675"/>
          <a:ext cx="2019300" cy="847725"/>
        </a:xfrm>
        <a:prstGeom prst="roundRect">
          <a:avLst/>
        </a:prstGeom>
        <a:solidFill>
          <a:srgbClr val="134E4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187325</xdr:colOff>
      <xdr:row>10</xdr:row>
      <xdr:rowOff>161925</xdr:rowOff>
    </xdr:from>
    <xdr:to>
      <xdr:col>15</xdr:col>
      <xdr:colOff>377825</xdr:colOff>
      <xdr:row>15</xdr:row>
      <xdr:rowOff>104775</xdr:rowOff>
    </xdr:to>
    <xdr:sp macro="" textlink="">
      <xdr:nvSpPr>
        <xdr:cNvPr id="17" name="Rectangle: Rounded Corners 16">
          <a:extLst>
            <a:ext uri="{FF2B5EF4-FFF2-40B4-BE49-F238E27FC236}">
              <a16:creationId xmlns:a16="http://schemas.microsoft.com/office/drawing/2014/main" id="{8D11D92C-DB5A-471A-9F43-6C611FFA4B26}"/>
            </a:ext>
          </a:extLst>
        </xdr:cNvPr>
        <xdr:cNvSpPr/>
      </xdr:nvSpPr>
      <xdr:spPr>
        <a:xfrm>
          <a:off x="7502525" y="1971675"/>
          <a:ext cx="2019300" cy="847725"/>
        </a:xfrm>
        <a:prstGeom prst="roundRect">
          <a:avLst/>
        </a:prstGeom>
        <a:solidFill>
          <a:srgbClr val="134E4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508000</xdr:colOff>
      <xdr:row>10</xdr:row>
      <xdr:rowOff>142875</xdr:rowOff>
    </xdr:from>
    <xdr:to>
      <xdr:col>19</xdr:col>
      <xdr:colOff>88900</xdr:colOff>
      <xdr:row>15</xdr:row>
      <xdr:rowOff>85725</xdr:rowOff>
    </xdr:to>
    <xdr:sp macro="" textlink="">
      <xdr:nvSpPr>
        <xdr:cNvPr id="18" name="Rectangle: Rounded Corners 17">
          <a:extLst>
            <a:ext uri="{FF2B5EF4-FFF2-40B4-BE49-F238E27FC236}">
              <a16:creationId xmlns:a16="http://schemas.microsoft.com/office/drawing/2014/main" id="{F6E447CF-30A8-42EB-82A9-8B77C44483C3}"/>
            </a:ext>
          </a:extLst>
        </xdr:cNvPr>
        <xdr:cNvSpPr/>
      </xdr:nvSpPr>
      <xdr:spPr>
        <a:xfrm>
          <a:off x="9652000" y="1952625"/>
          <a:ext cx="2019300" cy="847725"/>
        </a:xfrm>
        <a:prstGeom prst="roundRect">
          <a:avLst/>
        </a:prstGeom>
        <a:solidFill>
          <a:srgbClr val="134E4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219075</xdr:colOff>
      <xdr:row>10</xdr:row>
      <xdr:rowOff>142875</xdr:rowOff>
    </xdr:from>
    <xdr:to>
      <xdr:col>22</xdr:col>
      <xdr:colOff>409575</xdr:colOff>
      <xdr:row>15</xdr:row>
      <xdr:rowOff>85725</xdr:rowOff>
    </xdr:to>
    <xdr:sp macro="" textlink="">
      <xdr:nvSpPr>
        <xdr:cNvPr id="19" name="Rectangle: Rounded Corners 18">
          <a:extLst>
            <a:ext uri="{FF2B5EF4-FFF2-40B4-BE49-F238E27FC236}">
              <a16:creationId xmlns:a16="http://schemas.microsoft.com/office/drawing/2014/main" id="{52322C4F-F0B1-49ED-A119-C7B554F39F45}"/>
            </a:ext>
          </a:extLst>
        </xdr:cNvPr>
        <xdr:cNvSpPr/>
      </xdr:nvSpPr>
      <xdr:spPr>
        <a:xfrm>
          <a:off x="11801475" y="1952625"/>
          <a:ext cx="2019300" cy="847725"/>
        </a:xfrm>
        <a:prstGeom prst="roundRect">
          <a:avLst/>
        </a:prstGeom>
        <a:solidFill>
          <a:srgbClr val="134E4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533400</xdr:colOff>
      <xdr:row>12</xdr:row>
      <xdr:rowOff>28575</xdr:rowOff>
    </xdr:from>
    <xdr:to>
      <xdr:col>9</xdr:col>
      <xdr:colOff>381000</xdr:colOff>
      <xdr:row>14</xdr:row>
      <xdr:rowOff>85725</xdr:rowOff>
    </xdr:to>
    <xdr:sp macro="" textlink="">
      <xdr:nvSpPr>
        <xdr:cNvPr id="20" name="Oval 19">
          <a:extLst>
            <a:ext uri="{FF2B5EF4-FFF2-40B4-BE49-F238E27FC236}">
              <a16:creationId xmlns:a16="http://schemas.microsoft.com/office/drawing/2014/main" id="{BD1D3444-F136-47E7-AB9D-DAF4625B70F8}"/>
            </a:ext>
          </a:extLst>
        </xdr:cNvPr>
        <xdr:cNvSpPr/>
      </xdr:nvSpPr>
      <xdr:spPr>
        <a:xfrm>
          <a:off x="5410200" y="2200275"/>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47625</xdr:colOff>
      <xdr:row>12</xdr:row>
      <xdr:rowOff>114299</xdr:rowOff>
    </xdr:from>
    <xdr:to>
      <xdr:col>9</xdr:col>
      <xdr:colOff>276225</xdr:colOff>
      <xdr:row>13</xdr:row>
      <xdr:rowOff>161924</xdr:rowOff>
    </xdr:to>
    <xdr:pic>
      <xdr:nvPicPr>
        <xdr:cNvPr id="21" name="Picture 20">
          <a:extLst>
            <a:ext uri="{FF2B5EF4-FFF2-40B4-BE49-F238E27FC236}">
              <a16:creationId xmlns:a16="http://schemas.microsoft.com/office/drawing/2014/main" id="{5F8E7E74-1B8C-40D4-9F7E-74A9D0FCEA04}"/>
            </a:ext>
          </a:extLst>
        </xdr:cNvPr>
        <xdr:cNvPicPr>
          <a:picLocks noChangeAspect="1"/>
        </xdr:cNvPicPr>
      </xdr:nvPicPr>
      <xdr:blipFill>
        <a:blip xmlns:r="http://schemas.openxmlformats.org/officeDocument/2006/relationships" r:embed="rId1" cstate="print">
          <a:alphaModFix amt="70000"/>
          <a:extLst>
            <a:ext uri="{28A0092B-C50C-407E-A947-70E740481C1C}">
              <a14:useLocalDpi xmlns:a14="http://schemas.microsoft.com/office/drawing/2010/main" val="0"/>
            </a:ext>
          </a:extLst>
        </a:blip>
        <a:stretch>
          <a:fillRect/>
        </a:stretch>
      </xdr:blipFill>
      <xdr:spPr>
        <a:xfrm>
          <a:off x="5534025" y="2285999"/>
          <a:ext cx="228600" cy="228600"/>
        </a:xfrm>
        <a:prstGeom prst="rect">
          <a:avLst/>
        </a:prstGeom>
      </xdr:spPr>
    </xdr:pic>
    <xdr:clientData/>
  </xdr:twoCellAnchor>
  <xdr:twoCellAnchor>
    <xdr:from>
      <xdr:col>12</xdr:col>
      <xdr:colOff>257175</xdr:colOff>
      <xdr:row>12</xdr:row>
      <xdr:rowOff>38100</xdr:rowOff>
    </xdr:from>
    <xdr:to>
      <xdr:col>13</xdr:col>
      <xdr:colOff>104775</xdr:colOff>
      <xdr:row>14</xdr:row>
      <xdr:rowOff>95250</xdr:rowOff>
    </xdr:to>
    <xdr:sp macro="" textlink="">
      <xdr:nvSpPr>
        <xdr:cNvPr id="22" name="Oval 21">
          <a:extLst>
            <a:ext uri="{FF2B5EF4-FFF2-40B4-BE49-F238E27FC236}">
              <a16:creationId xmlns:a16="http://schemas.microsoft.com/office/drawing/2014/main" id="{57806686-EB18-423A-B09D-771E8F2945CC}"/>
            </a:ext>
          </a:extLst>
        </xdr:cNvPr>
        <xdr:cNvSpPr/>
      </xdr:nvSpPr>
      <xdr:spPr>
        <a:xfrm>
          <a:off x="7572375" y="2209800"/>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571500</xdr:colOff>
      <xdr:row>12</xdr:row>
      <xdr:rowOff>28575</xdr:rowOff>
    </xdr:from>
    <xdr:to>
      <xdr:col>16</xdr:col>
      <xdr:colOff>419100</xdr:colOff>
      <xdr:row>14</xdr:row>
      <xdr:rowOff>85725</xdr:rowOff>
    </xdr:to>
    <xdr:sp macro="" textlink="">
      <xdr:nvSpPr>
        <xdr:cNvPr id="23" name="Oval 22">
          <a:extLst>
            <a:ext uri="{FF2B5EF4-FFF2-40B4-BE49-F238E27FC236}">
              <a16:creationId xmlns:a16="http://schemas.microsoft.com/office/drawing/2014/main" id="{4CA039D6-542E-439C-87C5-E42A434C21D4}"/>
            </a:ext>
          </a:extLst>
        </xdr:cNvPr>
        <xdr:cNvSpPr/>
      </xdr:nvSpPr>
      <xdr:spPr>
        <a:xfrm>
          <a:off x="9715500" y="2200275"/>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285750</xdr:colOff>
      <xdr:row>12</xdr:row>
      <xdr:rowOff>19050</xdr:rowOff>
    </xdr:from>
    <xdr:to>
      <xdr:col>20</xdr:col>
      <xdr:colOff>133350</xdr:colOff>
      <xdr:row>14</xdr:row>
      <xdr:rowOff>76200</xdr:rowOff>
    </xdr:to>
    <xdr:sp macro="" textlink="">
      <xdr:nvSpPr>
        <xdr:cNvPr id="24" name="Oval 23">
          <a:extLst>
            <a:ext uri="{FF2B5EF4-FFF2-40B4-BE49-F238E27FC236}">
              <a16:creationId xmlns:a16="http://schemas.microsoft.com/office/drawing/2014/main" id="{7F0050DA-4E8B-4FEA-842B-7B16552489A1}"/>
            </a:ext>
          </a:extLst>
        </xdr:cNvPr>
        <xdr:cNvSpPr/>
      </xdr:nvSpPr>
      <xdr:spPr>
        <a:xfrm>
          <a:off x="11868150" y="2190750"/>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12</xdr:col>
      <xdr:colOff>352425</xdr:colOff>
      <xdr:row>12</xdr:row>
      <xdr:rowOff>104775</xdr:rowOff>
    </xdr:from>
    <xdr:to>
      <xdr:col>13</xdr:col>
      <xdr:colOff>0</xdr:colOff>
      <xdr:row>14</xdr:row>
      <xdr:rowOff>0</xdr:rowOff>
    </xdr:to>
    <xdr:pic>
      <xdr:nvPicPr>
        <xdr:cNvPr id="25" name="Picture 24">
          <a:extLst>
            <a:ext uri="{FF2B5EF4-FFF2-40B4-BE49-F238E27FC236}">
              <a16:creationId xmlns:a16="http://schemas.microsoft.com/office/drawing/2014/main" id="{1AF722D7-C604-47FA-8E56-92456474575A}"/>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7667625" y="2276475"/>
          <a:ext cx="257175" cy="257175"/>
        </a:xfrm>
        <a:prstGeom prst="rect">
          <a:avLst/>
        </a:prstGeom>
      </xdr:spPr>
    </xdr:pic>
    <xdr:clientData/>
  </xdr:twoCellAnchor>
  <xdr:twoCellAnchor editAs="oneCell">
    <xdr:from>
      <xdr:col>16</xdr:col>
      <xdr:colOff>95250</xdr:colOff>
      <xdr:row>12</xdr:row>
      <xdr:rowOff>104775</xdr:rowOff>
    </xdr:from>
    <xdr:to>
      <xdr:col>16</xdr:col>
      <xdr:colOff>323850</xdr:colOff>
      <xdr:row>13</xdr:row>
      <xdr:rowOff>152400</xdr:rowOff>
    </xdr:to>
    <xdr:pic>
      <xdr:nvPicPr>
        <xdr:cNvPr id="26" name="Picture 25">
          <a:extLst>
            <a:ext uri="{FF2B5EF4-FFF2-40B4-BE49-F238E27FC236}">
              <a16:creationId xmlns:a16="http://schemas.microsoft.com/office/drawing/2014/main" id="{521CFCA6-31CA-4CF7-B99B-1D33ED90DD39}"/>
            </a:ext>
          </a:extLst>
        </xdr:cNvPr>
        <xdr:cNvPicPr>
          <a:picLocks noChangeAspect="1"/>
        </xdr:cNvPicPr>
      </xdr:nvPicPr>
      <xdr:blipFill>
        <a:blip xmlns:r="http://schemas.openxmlformats.org/officeDocument/2006/relationships" r:embed="rId3" cstate="print">
          <a:alphaModFix amt="70000"/>
          <a:extLst>
            <a:ext uri="{28A0092B-C50C-407E-A947-70E740481C1C}">
              <a14:useLocalDpi xmlns:a14="http://schemas.microsoft.com/office/drawing/2010/main" val="0"/>
            </a:ext>
          </a:extLst>
        </a:blip>
        <a:stretch>
          <a:fillRect/>
        </a:stretch>
      </xdr:blipFill>
      <xdr:spPr>
        <a:xfrm>
          <a:off x="9848850" y="2276475"/>
          <a:ext cx="228600" cy="228600"/>
        </a:xfrm>
        <a:prstGeom prst="rect">
          <a:avLst/>
        </a:prstGeom>
      </xdr:spPr>
    </xdr:pic>
    <xdr:clientData/>
  </xdr:twoCellAnchor>
  <xdr:twoCellAnchor editAs="oneCell">
    <xdr:from>
      <xdr:col>19</xdr:col>
      <xdr:colOff>419101</xdr:colOff>
      <xdr:row>12</xdr:row>
      <xdr:rowOff>95251</xdr:rowOff>
    </xdr:from>
    <xdr:to>
      <xdr:col>20</xdr:col>
      <xdr:colOff>19813</xdr:colOff>
      <xdr:row>13</xdr:row>
      <xdr:rowOff>124588</xdr:rowOff>
    </xdr:to>
    <xdr:pic>
      <xdr:nvPicPr>
        <xdr:cNvPr id="27" name="Picture 26">
          <a:extLst>
            <a:ext uri="{FF2B5EF4-FFF2-40B4-BE49-F238E27FC236}">
              <a16:creationId xmlns:a16="http://schemas.microsoft.com/office/drawing/2014/main" id="{BBFE12F5-09A1-48ED-92B2-8DCC8F70ABED}"/>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12001501" y="2266951"/>
          <a:ext cx="210312" cy="210312"/>
        </a:xfrm>
        <a:prstGeom prst="rect">
          <a:avLst/>
        </a:prstGeom>
      </xdr:spPr>
    </xdr:pic>
    <xdr:clientData/>
  </xdr:twoCellAnchor>
  <xdr:twoCellAnchor>
    <xdr:from>
      <xdr:col>8</xdr:col>
      <xdr:colOff>352424</xdr:colOff>
      <xdr:row>17</xdr:row>
      <xdr:rowOff>53423</xdr:rowOff>
    </xdr:from>
    <xdr:to>
      <xdr:col>13</xdr:col>
      <xdr:colOff>428625</xdr:colOff>
      <xdr:row>26</xdr:row>
      <xdr:rowOff>139148</xdr:rowOff>
    </xdr:to>
    <xdr:sp macro="" textlink="">
      <xdr:nvSpPr>
        <xdr:cNvPr id="28" name="Rectangle: Rounded Corners 27">
          <a:extLst>
            <a:ext uri="{FF2B5EF4-FFF2-40B4-BE49-F238E27FC236}">
              <a16:creationId xmlns:a16="http://schemas.microsoft.com/office/drawing/2014/main" id="{808D0DE5-9AB9-6B72-CE8B-594181BDC686}"/>
            </a:ext>
          </a:extLst>
        </xdr:cNvPr>
        <xdr:cNvSpPr/>
      </xdr:nvSpPr>
      <xdr:spPr>
        <a:xfrm>
          <a:off x="5753266" y="3007844"/>
          <a:ext cx="3451727" cy="1649830"/>
        </a:xfrm>
        <a:prstGeom prst="roundRect">
          <a:avLst>
            <a:gd name="adj" fmla="val 3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361949</xdr:colOff>
      <xdr:row>27</xdr:row>
      <xdr:rowOff>104774</xdr:rowOff>
    </xdr:from>
    <xdr:to>
      <xdr:col>14</xdr:col>
      <xdr:colOff>333374</xdr:colOff>
      <xdr:row>37</xdr:row>
      <xdr:rowOff>133349</xdr:rowOff>
    </xdr:to>
    <xdr:sp macro="" textlink="">
      <xdr:nvSpPr>
        <xdr:cNvPr id="30" name="Rectangle: Rounded Corners 29">
          <a:extLst>
            <a:ext uri="{FF2B5EF4-FFF2-40B4-BE49-F238E27FC236}">
              <a16:creationId xmlns:a16="http://schemas.microsoft.com/office/drawing/2014/main" id="{42F49F11-C7E8-45D0-8BB3-4B057DD34944}"/>
            </a:ext>
          </a:extLst>
        </xdr:cNvPr>
        <xdr:cNvSpPr/>
      </xdr:nvSpPr>
      <xdr:spPr>
        <a:xfrm>
          <a:off x="5238749" y="4991099"/>
          <a:ext cx="3629025" cy="1838325"/>
        </a:xfrm>
        <a:prstGeom prst="roundRect">
          <a:avLst>
            <a:gd name="adj" fmla="val 6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557212</xdr:colOff>
      <xdr:row>17</xdr:row>
      <xdr:rowOff>53423</xdr:rowOff>
    </xdr:from>
    <xdr:to>
      <xdr:col>18</xdr:col>
      <xdr:colOff>166688</xdr:colOff>
      <xdr:row>26</xdr:row>
      <xdr:rowOff>139148</xdr:rowOff>
    </xdr:to>
    <xdr:sp macro="" textlink="">
      <xdr:nvSpPr>
        <xdr:cNvPr id="32" name="Rectangle: Rounded Corners 31">
          <a:extLst>
            <a:ext uri="{FF2B5EF4-FFF2-40B4-BE49-F238E27FC236}">
              <a16:creationId xmlns:a16="http://schemas.microsoft.com/office/drawing/2014/main" id="{776A15B0-A709-447C-B10E-649E07366856}"/>
            </a:ext>
          </a:extLst>
        </xdr:cNvPr>
        <xdr:cNvSpPr/>
      </xdr:nvSpPr>
      <xdr:spPr>
        <a:xfrm>
          <a:off x="9333580" y="3007844"/>
          <a:ext cx="2985003" cy="1649830"/>
        </a:xfrm>
        <a:prstGeom prst="roundRect">
          <a:avLst>
            <a:gd name="adj" fmla="val 745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295275</xdr:colOff>
      <xdr:row>17</xdr:row>
      <xdr:rowOff>53423</xdr:rowOff>
    </xdr:from>
    <xdr:to>
      <xdr:col>22</xdr:col>
      <xdr:colOff>561976</xdr:colOff>
      <xdr:row>26</xdr:row>
      <xdr:rowOff>139148</xdr:rowOff>
    </xdr:to>
    <xdr:sp macro="" textlink="">
      <xdr:nvSpPr>
        <xdr:cNvPr id="33" name="Rectangle: Rounded Corners 32">
          <a:extLst>
            <a:ext uri="{FF2B5EF4-FFF2-40B4-BE49-F238E27FC236}">
              <a16:creationId xmlns:a16="http://schemas.microsoft.com/office/drawing/2014/main" id="{FF92A919-8447-4300-8E6C-59D042EB58DA}"/>
            </a:ext>
          </a:extLst>
        </xdr:cNvPr>
        <xdr:cNvSpPr/>
      </xdr:nvSpPr>
      <xdr:spPr>
        <a:xfrm>
          <a:off x="12447170" y="3007844"/>
          <a:ext cx="2967122" cy="1649830"/>
        </a:xfrm>
        <a:prstGeom prst="roundRect">
          <a:avLst>
            <a:gd name="adj" fmla="val 689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457199</xdr:colOff>
      <xdr:row>27</xdr:row>
      <xdr:rowOff>104774</xdr:rowOff>
    </xdr:from>
    <xdr:to>
      <xdr:col>22</xdr:col>
      <xdr:colOff>552450</xdr:colOff>
      <xdr:row>37</xdr:row>
      <xdr:rowOff>135191</xdr:rowOff>
    </xdr:to>
    <xdr:sp macro="" textlink="">
      <xdr:nvSpPr>
        <xdr:cNvPr id="34" name="Rectangle: Rounded Corners 33">
          <a:extLst>
            <a:ext uri="{FF2B5EF4-FFF2-40B4-BE49-F238E27FC236}">
              <a16:creationId xmlns:a16="http://schemas.microsoft.com/office/drawing/2014/main" id="{157B6F27-B6B8-45E2-8C25-F703DB538343}"/>
            </a:ext>
          </a:extLst>
        </xdr:cNvPr>
        <xdr:cNvSpPr/>
      </xdr:nvSpPr>
      <xdr:spPr>
        <a:xfrm>
          <a:off x="9919251" y="4756287"/>
          <a:ext cx="5502138" cy="1753200"/>
        </a:xfrm>
        <a:prstGeom prst="roundRect">
          <a:avLst>
            <a:gd name="adj" fmla="val 554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266700</xdr:colOff>
      <xdr:row>4</xdr:row>
      <xdr:rowOff>145775</xdr:rowOff>
    </xdr:from>
    <xdr:to>
      <xdr:col>14</xdr:col>
      <xdr:colOff>333375</xdr:colOff>
      <xdr:row>7</xdr:row>
      <xdr:rowOff>49696</xdr:rowOff>
    </xdr:to>
    <xdr:sp macro="" textlink="">
      <xdr:nvSpPr>
        <xdr:cNvPr id="47" name="TextBox 46">
          <a:extLst>
            <a:ext uri="{FF2B5EF4-FFF2-40B4-BE49-F238E27FC236}">
              <a16:creationId xmlns:a16="http://schemas.microsoft.com/office/drawing/2014/main" id="{52A2DC2D-6B61-4FCD-B065-88C7600A05B2}"/>
            </a:ext>
          </a:extLst>
        </xdr:cNvPr>
        <xdr:cNvSpPr txBox="1"/>
      </xdr:nvSpPr>
      <xdr:spPr>
        <a:xfrm>
          <a:off x="5673587" y="834888"/>
          <a:ext cx="4121840" cy="420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a:solidFill>
                <a:schemeClr val="bg1">
                  <a:lumMod val="50000"/>
                </a:schemeClr>
              </a:solidFill>
              <a:latin typeface="Segoe UI Semibold" panose="020B0702040204020203" pitchFamily="34" charset="0"/>
              <a:cs typeface="Segoe UI Semibold" panose="020B0702040204020203" pitchFamily="34" charset="0"/>
            </a:rPr>
            <a:t>Customer Analysis Dashboard</a:t>
          </a:r>
          <a:endParaRPr lang="en-GB" sz="2000">
            <a:solidFill>
              <a:schemeClr val="bg1">
                <a:lumMod val="5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285750</xdr:colOff>
      <xdr:row>6</xdr:row>
      <xdr:rowOff>57150</xdr:rowOff>
    </xdr:from>
    <xdr:to>
      <xdr:col>17</xdr:col>
      <xdr:colOff>190500</xdr:colOff>
      <xdr:row>8</xdr:row>
      <xdr:rowOff>0</xdr:rowOff>
    </xdr:to>
    <xdr:sp macro="" textlink="">
      <xdr:nvSpPr>
        <xdr:cNvPr id="48" name="TextBox 47">
          <a:extLst>
            <a:ext uri="{FF2B5EF4-FFF2-40B4-BE49-F238E27FC236}">
              <a16:creationId xmlns:a16="http://schemas.microsoft.com/office/drawing/2014/main" id="{EFDDBC86-A73D-45B9-B7EB-4BD96AE20DE9}"/>
            </a:ext>
          </a:extLst>
        </xdr:cNvPr>
        <xdr:cNvSpPr txBox="1"/>
      </xdr:nvSpPr>
      <xdr:spPr>
        <a:xfrm>
          <a:off x="5162550" y="1143000"/>
          <a:ext cx="53911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endParaRPr lang="en-GB" sz="700" i="0">
            <a:solidFill>
              <a:schemeClr val="bg1">
                <a:lumMod val="50000"/>
              </a:schemeClr>
            </a:solidFill>
            <a:effectLst/>
            <a:latin typeface="Segoe UI Semibold" panose="020B0702040204020203" pitchFamily="34" charset="0"/>
            <a:cs typeface="Segoe UI Semibold" panose="020B0702040204020203" pitchFamily="34" charset="0"/>
          </a:endParaRPr>
        </a:p>
      </xdr:txBody>
    </xdr:sp>
    <xdr:clientData/>
  </xdr:twoCellAnchor>
  <xdr:twoCellAnchor>
    <xdr:from>
      <xdr:col>9</xdr:col>
      <xdr:colOff>371475</xdr:colOff>
      <xdr:row>13</xdr:row>
      <xdr:rowOff>142875</xdr:rowOff>
    </xdr:from>
    <xdr:to>
      <xdr:col>12</xdr:col>
      <xdr:colOff>390525</xdr:colOff>
      <xdr:row>15</xdr:row>
      <xdr:rowOff>66675</xdr:rowOff>
    </xdr:to>
    <xdr:sp macro="" textlink="">
      <xdr:nvSpPr>
        <xdr:cNvPr id="49" name="TextBox 48">
          <a:extLst>
            <a:ext uri="{FF2B5EF4-FFF2-40B4-BE49-F238E27FC236}">
              <a16:creationId xmlns:a16="http://schemas.microsoft.com/office/drawing/2014/main" id="{CB0A15D8-C355-48B5-8BE6-BACC8067AFAF}"/>
            </a:ext>
          </a:extLst>
        </xdr:cNvPr>
        <xdr:cNvSpPr txBox="1"/>
      </xdr:nvSpPr>
      <xdr:spPr>
        <a:xfrm>
          <a:off x="5857875" y="2495550"/>
          <a:ext cx="1847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Customers </a:t>
          </a:r>
        </a:p>
      </xdr:txBody>
    </xdr:sp>
    <xdr:clientData/>
  </xdr:twoCellAnchor>
  <xdr:twoCellAnchor>
    <xdr:from>
      <xdr:col>13</xdr:col>
      <xdr:colOff>133350</xdr:colOff>
      <xdr:row>13</xdr:row>
      <xdr:rowOff>142874</xdr:rowOff>
    </xdr:from>
    <xdr:to>
      <xdr:col>15</xdr:col>
      <xdr:colOff>123825</xdr:colOff>
      <xdr:row>15</xdr:row>
      <xdr:rowOff>76199</xdr:rowOff>
    </xdr:to>
    <xdr:sp macro="" textlink="">
      <xdr:nvSpPr>
        <xdr:cNvPr id="50" name="TextBox 49">
          <a:extLst>
            <a:ext uri="{FF2B5EF4-FFF2-40B4-BE49-F238E27FC236}">
              <a16:creationId xmlns:a16="http://schemas.microsoft.com/office/drawing/2014/main" id="{09545912-F94F-46A7-8BE1-B0E4868C6CCD}"/>
            </a:ext>
          </a:extLst>
        </xdr:cNvPr>
        <xdr:cNvSpPr txBox="1"/>
      </xdr:nvSpPr>
      <xdr:spPr>
        <a:xfrm>
          <a:off x="8058150" y="2495549"/>
          <a:ext cx="12096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Age</a:t>
          </a:r>
        </a:p>
      </xdr:txBody>
    </xdr:sp>
    <xdr:clientData/>
  </xdr:twoCellAnchor>
  <xdr:twoCellAnchor>
    <xdr:from>
      <xdr:col>16</xdr:col>
      <xdr:colOff>504825</xdr:colOff>
      <xdr:row>13</xdr:row>
      <xdr:rowOff>142875</xdr:rowOff>
    </xdr:from>
    <xdr:to>
      <xdr:col>19</xdr:col>
      <xdr:colOff>57150</xdr:colOff>
      <xdr:row>15</xdr:row>
      <xdr:rowOff>66675</xdr:rowOff>
    </xdr:to>
    <xdr:sp macro="" textlink="">
      <xdr:nvSpPr>
        <xdr:cNvPr id="51" name="TextBox 50">
          <a:extLst>
            <a:ext uri="{FF2B5EF4-FFF2-40B4-BE49-F238E27FC236}">
              <a16:creationId xmlns:a16="http://schemas.microsoft.com/office/drawing/2014/main" id="{BA26C32D-2EBB-4952-9E5B-8EA500E66444}"/>
            </a:ext>
          </a:extLst>
        </xdr:cNvPr>
        <xdr:cNvSpPr txBox="1"/>
      </xdr:nvSpPr>
      <xdr:spPr>
        <a:xfrm>
          <a:off x="10258425" y="2495550"/>
          <a:ext cx="1381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Income</a:t>
          </a:r>
        </a:p>
      </xdr:txBody>
    </xdr:sp>
    <xdr:clientData/>
  </xdr:twoCellAnchor>
  <xdr:twoCellAnchor>
    <xdr:from>
      <xdr:col>20</xdr:col>
      <xdr:colOff>161925</xdr:colOff>
      <xdr:row>13</xdr:row>
      <xdr:rowOff>142875</xdr:rowOff>
    </xdr:from>
    <xdr:to>
      <xdr:col>23</xdr:col>
      <xdr:colOff>180975</xdr:colOff>
      <xdr:row>15</xdr:row>
      <xdr:rowOff>66675</xdr:rowOff>
    </xdr:to>
    <xdr:sp macro="" textlink="">
      <xdr:nvSpPr>
        <xdr:cNvPr id="52" name="TextBox 51">
          <a:extLst>
            <a:ext uri="{FF2B5EF4-FFF2-40B4-BE49-F238E27FC236}">
              <a16:creationId xmlns:a16="http://schemas.microsoft.com/office/drawing/2014/main" id="{0DF089E5-C7D7-4D01-9728-6FD1AF002275}"/>
            </a:ext>
          </a:extLst>
        </xdr:cNvPr>
        <xdr:cNvSpPr txBox="1"/>
      </xdr:nvSpPr>
      <xdr:spPr>
        <a:xfrm>
          <a:off x="12353925" y="2495550"/>
          <a:ext cx="1847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Tenure (Yrs)</a:t>
          </a:r>
        </a:p>
      </xdr:txBody>
    </xdr:sp>
    <xdr:clientData/>
  </xdr:twoCellAnchor>
  <xdr:twoCellAnchor>
    <xdr:from>
      <xdr:col>9</xdr:col>
      <xdr:colOff>371475</xdr:colOff>
      <xdr:row>11</xdr:row>
      <xdr:rowOff>114300</xdr:rowOff>
    </xdr:from>
    <xdr:to>
      <xdr:col>10</xdr:col>
      <xdr:colOff>581025</xdr:colOff>
      <xdr:row>14</xdr:row>
      <xdr:rowOff>9525</xdr:rowOff>
    </xdr:to>
    <xdr:sp macro="" textlink="tcustomers">
      <xdr:nvSpPr>
        <xdr:cNvPr id="53" name="TextBox 52">
          <a:extLst>
            <a:ext uri="{FF2B5EF4-FFF2-40B4-BE49-F238E27FC236}">
              <a16:creationId xmlns:a16="http://schemas.microsoft.com/office/drawing/2014/main" id="{A78F7915-7F7F-4602-A98D-69D6C2689E17}"/>
            </a:ext>
          </a:extLst>
        </xdr:cNvPr>
        <xdr:cNvSpPr txBox="1"/>
      </xdr:nvSpPr>
      <xdr:spPr>
        <a:xfrm>
          <a:off x="5857875" y="2105025"/>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54C2EB2-D40D-491E-BD5C-DE12CE229E45}" type="TxLink">
            <a:rPr lang="en-US" sz="2400" b="0" i="0" u="none" strike="noStrike">
              <a:solidFill>
                <a:schemeClr val="bg1">
                  <a:lumMod val="75000"/>
                </a:schemeClr>
              </a:solidFill>
              <a:latin typeface="Segoe UI Semibold" panose="020B0702040204020203" pitchFamily="34" charset="0"/>
              <a:cs typeface="Segoe UI Semibold" panose="020B0702040204020203" pitchFamily="34" charset="0"/>
            </a:rPr>
            <a:pPr/>
            <a:t>500</a:t>
          </a:fld>
          <a:endParaRPr lang="en-GB" sz="4400">
            <a:solidFill>
              <a:schemeClr val="bg1">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276225</xdr:colOff>
      <xdr:row>11</xdr:row>
      <xdr:rowOff>142875</xdr:rowOff>
    </xdr:from>
    <xdr:to>
      <xdr:col>14</xdr:col>
      <xdr:colOff>485775</xdr:colOff>
      <xdr:row>14</xdr:row>
      <xdr:rowOff>38100</xdr:rowOff>
    </xdr:to>
    <xdr:sp macro="" textlink="avgage">
      <xdr:nvSpPr>
        <xdr:cNvPr id="54" name="TextBox 53">
          <a:extLst>
            <a:ext uri="{FF2B5EF4-FFF2-40B4-BE49-F238E27FC236}">
              <a16:creationId xmlns:a16="http://schemas.microsoft.com/office/drawing/2014/main" id="{8C36C33F-0AB8-4E6A-AA3D-B0798921B9EC}"/>
            </a:ext>
          </a:extLst>
        </xdr:cNvPr>
        <xdr:cNvSpPr txBox="1"/>
      </xdr:nvSpPr>
      <xdr:spPr>
        <a:xfrm>
          <a:off x="8201025" y="2133600"/>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1C0DB10-CF42-4DD1-AF5D-33A05590B944}"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46</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16</xdr:col>
      <xdr:colOff>409576</xdr:colOff>
      <xdr:row>11</xdr:row>
      <xdr:rowOff>104775</xdr:rowOff>
    </xdr:from>
    <xdr:to>
      <xdr:col>19</xdr:col>
      <xdr:colOff>171450</xdr:colOff>
      <xdr:row>14</xdr:row>
      <xdr:rowOff>0</xdr:rowOff>
    </xdr:to>
    <xdr:sp macro="" textlink="avgincome">
      <xdr:nvSpPr>
        <xdr:cNvPr id="55" name="TextBox 54">
          <a:extLst>
            <a:ext uri="{FF2B5EF4-FFF2-40B4-BE49-F238E27FC236}">
              <a16:creationId xmlns:a16="http://schemas.microsoft.com/office/drawing/2014/main" id="{F6157F7E-2B19-49D8-A918-EF915CF32E23}"/>
            </a:ext>
          </a:extLst>
        </xdr:cNvPr>
        <xdr:cNvSpPr txBox="1"/>
      </xdr:nvSpPr>
      <xdr:spPr>
        <a:xfrm>
          <a:off x="10163176" y="2095500"/>
          <a:ext cx="1590674"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15C936B-6126-498F-ABBF-28DB44C82CF9}"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$114.4K</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20</xdr:col>
      <xdr:colOff>533400</xdr:colOff>
      <xdr:row>11</xdr:row>
      <xdr:rowOff>114300</xdr:rowOff>
    </xdr:from>
    <xdr:to>
      <xdr:col>22</xdr:col>
      <xdr:colOff>133350</xdr:colOff>
      <xdr:row>14</xdr:row>
      <xdr:rowOff>9525</xdr:rowOff>
    </xdr:to>
    <xdr:sp macro="" textlink="tenure">
      <xdr:nvSpPr>
        <xdr:cNvPr id="56" name="TextBox 55">
          <a:extLst>
            <a:ext uri="{FF2B5EF4-FFF2-40B4-BE49-F238E27FC236}">
              <a16:creationId xmlns:a16="http://schemas.microsoft.com/office/drawing/2014/main" id="{847B781A-1959-4A75-8BF0-E7B64391DD1C}"/>
            </a:ext>
          </a:extLst>
        </xdr:cNvPr>
        <xdr:cNvSpPr txBox="1"/>
      </xdr:nvSpPr>
      <xdr:spPr>
        <a:xfrm>
          <a:off x="12725400" y="2105025"/>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3660912-B3A6-4471-9500-28040991F1E3}"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5</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361950</xdr:colOff>
      <xdr:row>17</xdr:row>
      <xdr:rowOff>142876</xdr:rowOff>
    </xdr:from>
    <xdr:to>
      <xdr:col>13</xdr:col>
      <xdr:colOff>400049</xdr:colOff>
      <xdr:row>26</xdr:row>
      <xdr:rowOff>131445</xdr:rowOff>
    </xdr:to>
    <xdr:graphicFrame macro="">
      <xdr:nvGraphicFramePr>
        <xdr:cNvPr id="57" name="Chart 56">
          <a:extLst>
            <a:ext uri="{FF2B5EF4-FFF2-40B4-BE49-F238E27FC236}">
              <a16:creationId xmlns:a16="http://schemas.microsoft.com/office/drawing/2014/main" id="{FD8973C7-66CD-4260-9DC2-B4192AAFB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276225</xdr:colOff>
      <xdr:row>19</xdr:row>
      <xdr:rowOff>19049</xdr:rowOff>
    </xdr:from>
    <xdr:to>
      <xdr:col>18</xdr:col>
      <xdr:colOff>135255</xdr:colOff>
      <xdr:row>26</xdr:row>
      <xdr:rowOff>156209</xdr:rowOff>
    </xdr:to>
    <xdr:graphicFrame macro="">
      <xdr:nvGraphicFramePr>
        <xdr:cNvPr id="58" name="Chart 57">
          <a:extLst>
            <a:ext uri="{FF2B5EF4-FFF2-40B4-BE49-F238E27FC236}">
              <a16:creationId xmlns:a16="http://schemas.microsoft.com/office/drawing/2014/main" id="{167A9038-E0E6-4EF8-A60A-D0C7C5042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438151</xdr:colOff>
      <xdr:row>22</xdr:row>
      <xdr:rowOff>133350</xdr:rowOff>
    </xdr:from>
    <xdr:to>
      <xdr:col>16</xdr:col>
      <xdr:colOff>38101</xdr:colOff>
      <xdr:row>24</xdr:row>
      <xdr:rowOff>47626</xdr:rowOff>
    </xdr:to>
    <xdr:sp macro="" textlink="toptenure">
      <xdr:nvSpPr>
        <xdr:cNvPr id="60" name="TextBox 59">
          <a:extLst>
            <a:ext uri="{FF2B5EF4-FFF2-40B4-BE49-F238E27FC236}">
              <a16:creationId xmlns:a16="http://schemas.microsoft.com/office/drawing/2014/main" id="{7EC1C6A8-35C0-42E9-9C80-8FEB43707FB4}"/>
            </a:ext>
          </a:extLst>
        </xdr:cNvPr>
        <xdr:cNvSpPr txBox="1"/>
      </xdr:nvSpPr>
      <xdr:spPr>
        <a:xfrm>
          <a:off x="8972551" y="4114800"/>
          <a:ext cx="819150"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D8E7CD-2E02-4B4F-9981-BA295DAE11C6}" type="TxLink">
            <a:rPr lang="en-US" sz="1100" b="0" i="0" u="none" strike="noStrike">
              <a:solidFill>
                <a:srgbClr val="000000"/>
              </a:solidFill>
              <a:latin typeface="Aptos Narrow"/>
              <a:ea typeface="+mn-ea"/>
              <a:cs typeface="+mn-cs"/>
            </a:rPr>
            <a:pPr marL="0" indent="0" algn="ctr"/>
            <a:t>Loyal</a:t>
          </a:fld>
          <a:endParaRPr lang="en-US" sz="1100">
            <a:solidFill>
              <a:schemeClr val="bg1">
                <a:lumMod val="75000"/>
              </a:schemeClr>
            </a:solidFill>
            <a:latin typeface="+mn-lt"/>
            <a:ea typeface="+mn-ea"/>
            <a:cs typeface="+mn-cs"/>
          </a:endParaRPr>
        </a:p>
      </xdr:txBody>
    </xdr:sp>
    <xdr:clientData/>
  </xdr:twoCellAnchor>
  <xdr:twoCellAnchor>
    <xdr:from>
      <xdr:col>14</xdr:col>
      <xdr:colOff>523874</xdr:colOff>
      <xdr:row>21</xdr:row>
      <xdr:rowOff>9525</xdr:rowOff>
    </xdr:from>
    <xdr:to>
      <xdr:col>16</xdr:col>
      <xdr:colOff>95249</xdr:colOff>
      <xdr:row>23</xdr:row>
      <xdr:rowOff>85725</xdr:rowOff>
    </xdr:to>
    <xdr:sp macro="" textlink="maxtenure">
      <xdr:nvSpPr>
        <xdr:cNvPr id="61" name="TextBox 60">
          <a:extLst>
            <a:ext uri="{FF2B5EF4-FFF2-40B4-BE49-F238E27FC236}">
              <a16:creationId xmlns:a16="http://schemas.microsoft.com/office/drawing/2014/main" id="{D60DE94D-2BE1-4F88-8C4C-20C1BDA2C45E}"/>
            </a:ext>
          </a:extLst>
        </xdr:cNvPr>
        <xdr:cNvSpPr txBox="1"/>
      </xdr:nvSpPr>
      <xdr:spPr>
        <a:xfrm>
          <a:off x="9058274" y="3810000"/>
          <a:ext cx="7905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0F5E1D-227F-4DE3-9D58-758685B0203C}" type="TxLink">
            <a:rPr lang="en-US" sz="2000" b="0" i="0" u="none" strike="noStrike">
              <a:solidFill>
                <a:srgbClr val="000000"/>
              </a:solidFill>
              <a:latin typeface="Aptos Narrow"/>
              <a:ea typeface="+mn-ea"/>
              <a:cs typeface="Segoe UI Semibold" panose="020B0702040204020203" pitchFamily="34" charset="0"/>
            </a:rPr>
            <a:pPr marL="0" indent="0" algn="ctr"/>
            <a:t>40%</a:t>
          </a:fld>
          <a:endParaRPr lang="en-GB" sz="4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390524</xdr:colOff>
      <xdr:row>17</xdr:row>
      <xdr:rowOff>152399</xdr:rowOff>
    </xdr:from>
    <xdr:to>
      <xdr:col>23</xdr:col>
      <xdr:colOff>148589</xdr:colOff>
      <xdr:row>27</xdr:row>
      <xdr:rowOff>112394</xdr:rowOff>
    </xdr:to>
    <xdr:graphicFrame macro="">
      <xdr:nvGraphicFramePr>
        <xdr:cNvPr id="62" name="Chart 61">
          <a:extLst>
            <a:ext uri="{FF2B5EF4-FFF2-40B4-BE49-F238E27FC236}">
              <a16:creationId xmlns:a16="http://schemas.microsoft.com/office/drawing/2014/main" id="{AECFFCAA-CE6E-4A29-8E27-A62C36A5F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390525</xdr:colOff>
      <xdr:row>28</xdr:row>
      <xdr:rowOff>152399</xdr:rowOff>
    </xdr:from>
    <xdr:to>
      <xdr:col>14</xdr:col>
      <xdr:colOff>321945</xdr:colOff>
      <xdr:row>37</xdr:row>
      <xdr:rowOff>129539</xdr:rowOff>
    </xdr:to>
    <xdr:graphicFrame macro="">
      <xdr:nvGraphicFramePr>
        <xdr:cNvPr id="63" name="Chart 62">
          <a:extLst>
            <a:ext uri="{FF2B5EF4-FFF2-40B4-BE49-F238E27FC236}">
              <a16:creationId xmlns:a16="http://schemas.microsoft.com/office/drawing/2014/main" id="{2D31B070-31D3-49FD-9B0B-AD052F309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523875</xdr:colOff>
      <xdr:row>28</xdr:row>
      <xdr:rowOff>123825</xdr:rowOff>
    </xdr:from>
    <xdr:to>
      <xdr:col>22</xdr:col>
      <xdr:colOff>561975</xdr:colOff>
      <xdr:row>37</xdr:row>
      <xdr:rowOff>91440</xdr:rowOff>
    </xdr:to>
    <xdr:graphicFrame macro="">
      <xdr:nvGraphicFramePr>
        <xdr:cNvPr id="64" name="Chart 63">
          <a:extLst>
            <a:ext uri="{FF2B5EF4-FFF2-40B4-BE49-F238E27FC236}">
              <a16:creationId xmlns:a16="http://schemas.microsoft.com/office/drawing/2014/main" id="{BAD0B800-7CFA-4549-A677-2CE8E1D39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495301</xdr:colOff>
      <xdr:row>17</xdr:row>
      <xdr:rowOff>142875</xdr:rowOff>
    </xdr:from>
    <xdr:to>
      <xdr:col>11</xdr:col>
      <xdr:colOff>495301</xdr:colOff>
      <xdr:row>19</xdr:row>
      <xdr:rowOff>47625</xdr:rowOff>
    </xdr:to>
    <xdr:sp macro="" textlink="">
      <xdr:nvSpPr>
        <xdr:cNvPr id="65" name="TextBox 64">
          <a:extLst>
            <a:ext uri="{FF2B5EF4-FFF2-40B4-BE49-F238E27FC236}">
              <a16:creationId xmlns:a16="http://schemas.microsoft.com/office/drawing/2014/main" id="{A2C744DD-53F9-4DCD-8FFC-138C01AB4786}"/>
            </a:ext>
          </a:extLst>
        </xdr:cNvPr>
        <xdr:cNvSpPr txBox="1"/>
      </xdr:nvSpPr>
      <xdr:spPr>
        <a:xfrm>
          <a:off x="5372101" y="3219450"/>
          <a:ext cx="1828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by Generation</a:t>
          </a:r>
          <a:endParaRPr lang="en-US" sz="1050">
            <a:solidFill>
              <a:schemeClr val="bg1">
                <a:lumMod val="50000"/>
              </a:schemeClr>
            </a:solidFill>
            <a:latin typeface="+mn-lt"/>
            <a:ea typeface="+mn-ea"/>
            <a:cs typeface="+mn-cs"/>
          </a:endParaRPr>
        </a:p>
      </xdr:txBody>
    </xdr:sp>
    <xdr:clientData/>
  </xdr:twoCellAnchor>
  <xdr:twoCellAnchor>
    <xdr:from>
      <xdr:col>8</xdr:col>
      <xdr:colOff>447675</xdr:colOff>
      <xdr:row>27</xdr:row>
      <xdr:rowOff>161925</xdr:rowOff>
    </xdr:from>
    <xdr:to>
      <xdr:col>13</xdr:col>
      <xdr:colOff>228600</xdr:colOff>
      <xdr:row>29</xdr:row>
      <xdr:rowOff>57150</xdr:rowOff>
    </xdr:to>
    <xdr:sp macro="" textlink="">
      <xdr:nvSpPr>
        <xdr:cNvPr id="66" name="TextBox 65">
          <a:extLst>
            <a:ext uri="{FF2B5EF4-FFF2-40B4-BE49-F238E27FC236}">
              <a16:creationId xmlns:a16="http://schemas.microsoft.com/office/drawing/2014/main" id="{CA47AD72-851A-461D-879F-6F53D6686665}"/>
            </a:ext>
          </a:extLst>
        </xdr:cNvPr>
        <xdr:cNvSpPr txBox="1"/>
      </xdr:nvSpPr>
      <xdr:spPr>
        <a:xfrm>
          <a:off x="5324475" y="5048250"/>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Customer Growth Timeline</a:t>
          </a:r>
          <a:endParaRPr lang="en-US" sz="1100">
            <a:solidFill>
              <a:schemeClr val="bg1">
                <a:lumMod val="50000"/>
              </a:schemeClr>
            </a:solidFill>
            <a:latin typeface="+mn-lt"/>
            <a:ea typeface="+mn-ea"/>
            <a:cs typeface="+mn-cs"/>
          </a:endParaRPr>
        </a:p>
      </xdr:txBody>
    </xdr:sp>
    <xdr:clientData/>
  </xdr:twoCellAnchor>
  <xdr:twoCellAnchor>
    <xdr:from>
      <xdr:col>15</xdr:col>
      <xdr:colOff>0</xdr:colOff>
      <xdr:row>27</xdr:row>
      <xdr:rowOff>171450</xdr:rowOff>
    </xdr:from>
    <xdr:to>
      <xdr:col>19</xdr:col>
      <xdr:colOff>390525</xdr:colOff>
      <xdr:row>29</xdr:row>
      <xdr:rowOff>66675</xdr:rowOff>
    </xdr:to>
    <xdr:sp macro="" textlink="">
      <xdr:nvSpPr>
        <xdr:cNvPr id="67" name="TextBox 66">
          <a:extLst>
            <a:ext uri="{FF2B5EF4-FFF2-40B4-BE49-F238E27FC236}">
              <a16:creationId xmlns:a16="http://schemas.microsoft.com/office/drawing/2014/main" id="{783EC50B-1EBA-4B71-B416-CEFC49A0006E}"/>
            </a:ext>
          </a:extLst>
        </xdr:cNvPr>
        <xdr:cNvSpPr txBox="1"/>
      </xdr:nvSpPr>
      <xdr:spPr>
        <a:xfrm>
          <a:off x="9144000" y="5057775"/>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Professional Profile of Our Customer Base</a:t>
          </a:r>
          <a:endParaRPr lang="en-US" sz="1100">
            <a:solidFill>
              <a:schemeClr val="bg1">
                <a:lumMod val="50000"/>
              </a:schemeClr>
            </a:solidFill>
            <a:latin typeface="+mn-lt"/>
            <a:ea typeface="+mn-ea"/>
            <a:cs typeface="+mn-cs"/>
          </a:endParaRPr>
        </a:p>
      </xdr:txBody>
    </xdr:sp>
    <xdr:clientData/>
  </xdr:twoCellAnchor>
  <xdr:twoCellAnchor>
    <xdr:from>
      <xdr:col>14</xdr:col>
      <xdr:colOff>66675</xdr:colOff>
      <xdr:row>17</xdr:row>
      <xdr:rowOff>142875</xdr:rowOff>
    </xdr:from>
    <xdr:to>
      <xdr:col>18</xdr:col>
      <xdr:colOff>152400</xdr:colOff>
      <xdr:row>19</xdr:row>
      <xdr:rowOff>57150</xdr:rowOff>
    </xdr:to>
    <xdr:sp macro="" textlink="">
      <xdr:nvSpPr>
        <xdr:cNvPr id="68" name="TextBox 67">
          <a:extLst>
            <a:ext uri="{FF2B5EF4-FFF2-40B4-BE49-F238E27FC236}">
              <a16:creationId xmlns:a16="http://schemas.microsoft.com/office/drawing/2014/main" id="{D7A8645A-6739-4EB8-B4C3-86C9C53D0069}"/>
            </a:ext>
          </a:extLst>
        </xdr:cNvPr>
        <xdr:cNvSpPr txBox="1"/>
      </xdr:nvSpPr>
      <xdr:spPr>
        <a:xfrm>
          <a:off x="8601075" y="3219450"/>
          <a:ext cx="25241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Loyalty Segmentation</a:t>
          </a:r>
          <a:endParaRPr lang="en-US" sz="1050">
            <a:solidFill>
              <a:schemeClr val="bg1">
                <a:lumMod val="50000"/>
              </a:schemeClr>
            </a:solidFill>
            <a:latin typeface="+mn-lt"/>
            <a:ea typeface="+mn-ea"/>
            <a:cs typeface="+mn-cs"/>
          </a:endParaRPr>
        </a:p>
      </xdr:txBody>
    </xdr:sp>
    <xdr:clientData/>
  </xdr:twoCellAnchor>
  <xdr:twoCellAnchor>
    <xdr:from>
      <xdr:col>18</xdr:col>
      <xdr:colOff>447675</xdr:colOff>
      <xdr:row>17</xdr:row>
      <xdr:rowOff>114300</xdr:rowOff>
    </xdr:from>
    <xdr:to>
      <xdr:col>23</xdr:col>
      <xdr:colOff>228600</xdr:colOff>
      <xdr:row>19</xdr:row>
      <xdr:rowOff>9525</xdr:rowOff>
    </xdr:to>
    <xdr:sp macro="" textlink="">
      <xdr:nvSpPr>
        <xdr:cNvPr id="69" name="TextBox 68">
          <a:extLst>
            <a:ext uri="{FF2B5EF4-FFF2-40B4-BE49-F238E27FC236}">
              <a16:creationId xmlns:a16="http://schemas.microsoft.com/office/drawing/2014/main" id="{B514CB86-1C3E-4005-8F78-A6251C8A8F49}"/>
            </a:ext>
          </a:extLst>
        </xdr:cNvPr>
        <xdr:cNvSpPr txBox="1"/>
      </xdr:nvSpPr>
      <xdr:spPr>
        <a:xfrm>
          <a:off x="11420475" y="3190875"/>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Wealth Profile</a:t>
          </a:r>
          <a:endParaRPr lang="en-US" sz="1050">
            <a:solidFill>
              <a:schemeClr val="bg1">
                <a:lumMod val="50000"/>
              </a:schemeClr>
            </a:solidFill>
            <a:latin typeface="+mn-lt"/>
            <a:ea typeface="+mn-ea"/>
            <a:cs typeface="+mn-cs"/>
          </a:endParaRPr>
        </a:p>
      </xdr:txBody>
    </xdr:sp>
    <xdr:clientData/>
  </xdr:twoCellAnchor>
  <xdr:twoCellAnchor editAs="oneCell">
    <xdr:from>
      <xdr:col>18</xdr:col>
      <xdr:colOff>238125</xdr:colOff>
      <xdr:row>7</xdr:row>
      <xdr:rowOff>128011</xdr:rowOff>
    </xdr:from>
    <xdr:to>
      <xdr:col>22</xdr:col>
      <xdr:colOff>485775</xdr:colOff>
      <xdr:row>9</xdr:row>
      <xdr:rowOff>118486</xdr:rowOff>
    </xdr:to>
    <mc:AlternateContent xmlns:mc="http://schemas.openxmlformats.org/markup-compatibility/2006" xmlns:a14="http://schemas.microsoft.com/office/drawing/2010/main">
      <mc:Choice Requires="a14">
        <xdr:graphicFrame macro="">
          <xdr:nvGraphicFramePr>
            <xdr:cNvPr id="72" name="Customer_Segment">
              <a:extLst>
                <a:ext uri="{FF2B5EF4-FFF2-40B4-BE49-F238E27FC236}">
                  <a16:creationId xmlns:a16="http://schemas.microsoft.com/office/drawing/2014/main" id="{C4387422-75CC-4535-9379-5BEA8C4BA3F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2386582" y="1347211"/>
              <a:ext cx="2947307" cy="338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425726</xdr:colOff>
      <xdr:row>7</xdr:row>
      <xdr:rowOff>127185</xdr:rowOff>
    </xdr:from>
    <xdr:to>
      <xdr:col>18</xdr:col>
      <xdr:colOff>296186</xdr:colOff>
      <xdr:row>9</xdr:row>
      <xdr:rowOff>117660</xdr:rowOff>
    </xdr:to>
    <mc:AlternateContent xmlns:mc="http://schemas.openxmlformats.org/markup-compatibility/2006" xmlns:a14="http://schemas.microsoft.com/office/drawing/2010/main">
      <mc:Choice Requires="a14">
        <xdr:graphicFrame macro="">
          <xdr:nvGraphicFramePr>
            <xdr:cNvPr id="73" name="Region">
              <a:extLst>
                <a:ext uri="{FF2B5EF4-FFF2-40B4-BE49-F238E27FC236}">
                  <a16:creationId xmlns:a16="http://schemas.microsoft.com/office/drawing/2014/main" id="{91D28A13-4303-46DE-9340-B3E2B47B0C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49783" y="1346385"/>
              <a:ext cx="4594860" cy="338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469978</xdr:colOff>
      <xdr:row>8</xdr:row>
      <xdr:rowOff>3950</xdr:rowOff>
    </xdr:from>
    <xdr:to>
      <xdr:col>9</xdr:col>
      <xdr:colOff>555702</xdr:colOff>
      <xdr:row>9</xdr:row>
      <xdr:rowOff>61100</xdr:rowOff>
    </xdr:to>
    <xdr:sp macro="" textlink="">
      <xdr:nvSpPr>
        <xdr:cNvPr id="74" name="TextBox 73">
          <a:extLst>
            <a:ext uri="{FF2B5EF4-FFF2-40B4-BE49-F238E27FC236}">
              <a16:creationId xmlns:a16="http://schemas.microsoft.com/office/drawing/2014/main" id="{7C1573E0-EDB7-42FA-BD4A-C12545138C8C}"/>
            </a:ext>
          </a:extLst>
        </xdr:cNvPr>
        <xdr:cNvSpPr txBox="1"/>
      </xdr:nvSpPr>
      <xdr:spPr>
        <a:xfrm>
          <a:off x="5882037" y="1401570"/>
          <a:ext cx="762231" cy="231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i="1">
              <a:solidFill>
                <a:schemeClr val="bg1">
                  <a:lumMod val="50000"/>
                </a:schemeClr>
              </a:solidFill>
              <a:latin typeface="+mn-lt"/>
              <a:ea typeface="+mn-ea"/>
              <a:cs typeface="+mn-cs"/>
            </a:rPr>
            <a:t>Filter</a:t>
          </a:r>
          <a:r>
            <a:rPr lang="en-GB" sz="1050" i="1" baseline="0">
              <a:solidFill>
                <a:schemeClr val="bg1">
                  <a:lumMod val="50000"/>
                </a:schemeClr>
              </a:solidFill>
              <a:latin typeface="+mn-lt"/>
              <a:ea typeface="+mn-ea"/>
              <a:cs typeface="+mn-cs"/>
            </a:rPr>
            <a:t>s</a:t>
          </a:r>
          <a:endParaRPr lang="en-US" sz="1050" i="1">
            <a:solidFill>
              <a:schemeClr val="bg1">
                <a:lumMod val="50000"/>
              </a:schemeClr>
            </a:solidFill>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LETS%20TALK%20EXCEL%20PROJECT\METRO%20BANK%20CUSTOMERS.xlsx" TargetMode="External"/><Relationship Id="rId1" Type="http://schemas.openxmlformats.org/officeDocument/2006/relationships/externalLinkPath" Target="/Users/HP/Downloads/LETS%20TALK%20EXCEL%20PROJECT/METRO%20BANK%20CUSTOM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 DATA"/>
      <sheetName val="SUMMARY"/>
      <sheetName val="VISUALS"/>
    </sheetNames>
    <sheetDataSet>
      <sheetData sheetId="0" refreshError="1"/>
      <sheetData sheetId="1">
        <row r="5">
          <cell r="B5">
            <v>500</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KET" refreshedDate="45993.597625347225" createdVersion="8" refreshedVersion="8" minRefreshableVersion="3" recordCount="500" xr:uid="{A5C48EF9-516B-41BF-A0C4-1014C8FF2BA1}">
  <cacheSource type="worksheet">
    <worksheetSource name="customers"/>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Age group" numFmtId="0">
      <sharedItems count="4">
        <s v="Millen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Bracket"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0" maxValue="10"/>
    </cacheField>
    <cacheField name="Tenure Group" numFmtId="0">
      <sharedItems count="4">
        <s v="Emerging"/>
        <s v="Loyal"/>
        <s v="Legacy"/>
        <s v="Ne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094383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x v="0"/>
    <n v="191672"/>
    <x v="0"/>
    <x v="0"/>
    <d v="2023-04-25T00:00:00"/>
    <n v="2"/>
    <x v="0"/>
    <x v="0"/>
  </r>
  <r>
    <s v="CUST0002"/>
    <s v="Erin Martinez"/>
    <x v="1"/>
    <n v="49"/>
    <x v="1"/>
    <x v="1"/>
    <x v="1"/>
    <n v="186472"/>
    <x v="0"/>
    <x v="1"/>
    <d v="2021-05-15T00:00:00"/>
    <n v="4"/>
    <x v="1"/>
    <x v="1"/>
  </r>
  <r>
    <s v="CUST0003"/>
    <s v="Amanda Harris"/>
    <x v="0"/>
    <n v="40"/>
    <x v="0"/>
    <x v="0"/>
    <x v="2"/>
    <n v="155566"/>
    <x v="0"/>
    <x v="2"/>
    <d v="2018-12-04T00:00:00"/>
    <n v="7"/>
    <x v="1"/>
    <x v="2"/>
  </r>
  <r>
    <s v="CUST0004"/>
    <s v="Candice Palmer"/>
    <x v="0"/>
    <n v="50"/>
    <x v="1"/>
    <x v="0"/>
    <x v="3"/>
    <n v="142744"/>
    <x v="1"/>
    <x v="0"/>
    <d v="2021-10-25T00:00:00"/>
    <n v="4"/>
    <x v="1"/>
    <x v="1"/>
  </r>
  <r>
    <s v="CUST0005"/>
    <s v="Sandra Davis"/>
    <x v="0"/>
    <n v="20"/>
    <x v="2"/>
    <x v="2"/>
    <x v="4"/>
    <n v="109431"/>
    <x v="1"/>
    <x v="1"/>
    <d v="2018-07-28T00:00:00"/>
    <n v="7"/>
    <x v="1"/>
    <x v="2"/>
  </r>
  <r>
    <s v="CUST0006"/>
    <s v="Vanessa Peterson"/>
    <x v="1"/>
    <n v="35"/>
    <x v="0"/>
    <x v="3"/>
    <x v="2"/>
    <n v="63001"/>
    <x v="2"/>
    <x v="0"/>
    <d v="2016-05-30T00:00:00"/>
    <n v="9"/>
    <x v="2"/>
    <x v="3"/>
  </r>
  <r>
    <s v="CUST0007"/>
    <s v="Tyler Fischer"/>
    <x v="0"/>
    <n v="42"/>
    <x v="0"/>
    <x v="0"/>
    <x v="5"/>
    <n v="87364"/>
    <x v="2"/>
    <x v="1"/>
    <d v="2017-10-18T00:00:00"/>
    <n v="8"/>
    <x v="2"/>
    <x v="4"/>
  </r>
  <r>
    <s v="CUST0008"/>
    <s v="William Horton"/>
    <x v="0"/>
    <n v="59"/>
    <x v="1"/>
    <x v="0"/>
    <x v="5"/>
    <n v="144988"/>
    <x v="1"/>
    <x v="0"/>
    <d v="2024-06-05T00:00:00"/>
    <n v="1"/>
    <x v="3"/>
    <x v="5"/>
  </r>
  <r>
    <s v="CUST0009"/>
    <s v="Donna Williams"/>
    <x v="0"/>
    <n v="48"/>
    <x v="1"/>
    <x v="2"/>
    <x v="6"/>
    <n v="65028"/>
    <x v="2"/>
    <x v="1"/>
    <d v="2019-02-11T00:00:00"/>
    <n v="7"/>
    <x v="1"/>
    <x v="6"/>
  </r>
  <r>
    <s v="CUST0010"/>
    <s v="Mary Casey"/>
    <x v="1"/>
    <n v="71"/>
    <x v="3"/>
    <x v="2"/>
    <x v="1"/>
    <n v="188645"/>
    <x v="0"/>
    <x v="1"/>
    <d v="2016-02-05T00:00:00"/>
    <n v="10"/>
    <x v="2"/>
    <x v="3"/>
  </r>
  <r>
    <s v="CUST0011"/>
    <s v="Kevin Phillips"/>
    <x v="0"/>
    <n v="20"/>
    <x v="2"/>
    <x v="3"/>
    <x v="0"/>
    <n v="151878"/>
    <x v="0"/>
    <x v="2"/>
    <d v="2017-02-15T00:00:00"/>
    <n v="9"/>
    <x v="2"/>
    <x v="4"/>
  </r>
  <r>
    <s v="CUST0012"/>
    <s v="Michael Richard"/>
    <x v="0"/>
    <n v="57"/>
    <x v="1"/>
    <x v="2"/>
    <x v="1"/>
    <n v="144343"/>
    <x v="1"/>
    <x v="1"/>
    <d v="2023-12-20T00:00:00"/>
    <n v="2"/>
    <x v="0"/>
    <x v="0"/>
  </r>
  <r>
    <s v="CUST0013"/>
    <s v="Jaime Davis MD"/>
    <x v="0"/>
    <n v="63"/>
    <x v="3"/>
    <x v="1"/>
    <x v="1"/>
    <n v="148301"/>
    <x v="1"/>
    <x v="0"/>
    <d v="2023-04-02T00:00:00"/>
    <n v="3"/>
    <x v="0"/>
    <x v="0"/>
  </r>
  <r>
    <s v="CUST0014"/>
    <s v="Eric Peterson"/>
    <x v="0"/>
    <n v="41"/>
    <x v="0"/>
    <x v="2"/>
    <x v="1"/>
    <n v="146295"/>
    <x v="1"/>
    <x v="1"/>
    <d v="2017-08-13T00:00:00"/>
    <n v="8"/>
    <x v="2"/>
    <x v="4"/>
  </r>
  <r>
    <s v="CUST0015"/>
    <s v="Ms. Renee Cardenas PhD"/>
    <x v="1"/>
    <n v="67"/>
    <x v="3"/>
    <x v="1"/>
    <x v="1"/>
    <n v="180829"/>
    <x v="0"/>
    <x v="1"/>
    <d v="2019-07-27T00:00:00"/>
    <n v="6"/>
    <x v="1"/>
    <x v="6"/>
  </r>
  <r>
    <s v="CUST0016"/>
    <s v="Ashlee Baird"/>
    <x v="0"/>
    <n v="49"/>
    <x v="1"/>
    <x v="3"/>
    <x v="3"/>
    <n v="54636"/>
    <x v="2"/>
    <x v="0"/>
    <d v="2019-06-27T00:00:00"/>
    <n v="6"/>
    <x v="1"/>
    <x v="6"/>
  </r>
  <r>
    <s v="CUST0017"/>
    <s v="Michael Conner"/>
    <x v="1"/>
    <n v="64"/>
    <x v="3"/>
    <x v="3"/>
    <x v="3"/>
    <n v="199352"/>
    <x v="0"/>
    <x v="0"/>
    <d v="2021-06-28T00:00:00"/>
    <n v="4"/>
    <x v="1"/>
    <x v="1"/>
  </r>
  <r>
    <s v="CUST0018"/>
    <s v="Jeff Koch"/>
    <x v="1"/>
    <n v="39"/>
    <x v="0"/>
    <x v="3"/>
    <x v="6"/>
    <n v="44262"/>
    <x v="2"/>
    <x v="2"/>
    <d v="2025-03-12T00:00:00"/>
    <n v="1"/>
    <x v="3"/>
    <x v="7"/>
  </r>
  <r>
    <s v="CUST0019"/>
    <s v="Melissa Clark"/>
    <x v="1"/>
    <n v="40"/>
    <x v="0"/>
    <x v="3"/>
    <x v="2"/>
    <n v="100435"/>
    <x v="1"/>
    <x v="1"/>
    <d v="2021-09-17T00:00:00"/>
    <n v="4"/>
    <x v="1"/>
    <x v="1"/>
  </r>
  <r>
    <s v="CUST0020"/>
    <s v="Janice Scott"/>
    <x v="0"/>
    <n v="19"/>
    <x v="2"/>
    <x v="3"/>
    <x v="5"/>
    <n v="148583"/>
    <x v="1"/>
    <x v="1"/>
    <d v="2023-05-12T00:00:00"/>
    <n v="2"/>
    <x v="0"/>
    <x v="0"/>
  </r>
  <r>
    <s v="CUST0021"/>
    <s v="Elizabeth Smith"/>
    <x v="1"/>
    <n v="44"/>
    <x v="0"/>
    <x v="1"/>
    <x v="1"/>
    <n v="189269"/>
    <x v="0"/>
    <x v="0"/>
    <d v="2024-05-02T00:00:00"/>
    <n v="1"/>
    <x v="3"/>
    <x v="5"/>
  </r>
  <r>
    <s v="CUST0022"/>
    <s v="Jodi Burns"/>
    <x v="0"/>
    <n v="59"/>
    <x v="1"/>
    <x v="1"/>
    <x v="6"/>
    <n v="61844"/>
    <x v="2"/>
    <x v="1"/>
    <d v="2023-07-11T00:00:00"/>
    <n v="2"/>
    <x v="0"/>
    <x v="0"/>
  </r>
  <r>
    <s v="CUST0023"/>
    <s v="Robert Robertson"/>
    <x v="1"/>
    <n v="19"/>
    <x v="2"/>
    <x v="3"/>
    <x v="2"/>
    <n v="84754"/>
    <x v="2"/>
    <x v="0"/>
    <d v="2022-07-03T00:00:00"/>
    <n v="3"/>
    <x v="0"/>
    <x v="8"/>
  </r>
  <r>
    <s v="CUST0024"/>
    <s v="Curtis Scott"/>
    <x v="1"/>
    <n v="43"/>
    <x v="0"/>
    <x v="2"/>
    <x v="5"/>
    <n v="185229"/>
    <x v="0"/>
    <x v="1"/>
    <d v="2017-01-30T00:00:00"/>
    <n v="9"/>
    <x v="2"/>
    <x v="4"/>
  </r>
  <r>
    <s v="CUST0025"/>
    <s v="Cindy Parks"/>
    <x v="1"/>
    <n v="34"/>
    <x v="0"/>
    <x v="0"/>
    <x v="4"/>
    <n v="97129"/>
    <x v="2"/>
    <x v="0"/>
    <d v="2019-09-10T00:00:00"/>
    <n v="6"/>
    <x v="1"/>
    <x v="6"/>
  </r>
  <r>
    <s v="CUST0026"/>
    <s v="Charles Fields"/>
    <x v="1"/>
    <n v="57"/>
    <x v="1"/>
    <x v="3"/>
    <x v="0"/>
    <n v="60042"/>
    <x v="2"/>
    <x v="1"/>
    <d v="2021-09-30T00:00:00"/>
    <n v="4"/>
    <x v="1"/>
    <x v="1"/>
  </r>
  <r>
    <s v="CUST0027"/>
    <s v="Michael Murray MD"/>
    <x v="1"/>
    <n v="50"/>
    <x v="1"/>
    <x v="2"/>
    <x v="3"/>
    <n v="81665"/>
    <x v="2"/>
    <x v="2"/>
    <d v="2016-08-25T00:00:00"/>
    <n v="9"/>
    <x v="2"/>
    <x v="3"/>
  </r>
  <r>
    <s v="CUST0028"/>
    <s v="Edward Haynes"/>
    <x v="1"/>
    <n v="26"/>
    <x v="2"/>
    <x v="0"/>
    <x v="4"/>
    <n v="136953"/>
    <x v="1"/>
    <x v="0"/>
    <d v="2019-08-21T00:00:00"/>
    <n v="6"/>
    <x v="1"/>
    <x v="6"/>
  </r>
  <r>
    <s v="CUST0029"/>
    <s v="James Allen"/>
    <x v="1"/>
    <n v="60"/>
    <x v="1"/>
    <x v="3"/>
    <x v="5"/>
    <n v="178448"/>
    <x v="0"/>
    <x v="2"/>
    <d v="2022-09-30T00:00:00"/>
    <n v="3"/>
    <x v="0"/>
    <x v="8"/>
  </r>
  <r>
    <s v="CUST0030"/>
    <s v="Angela Robinson"/>
    <x v="1"/>
    <n v="71"/>
    <x v="3"/>
    <x v="3"/>
    <x v="4"/>
    <n v="165271"/>
    <x v="0"/>
    <x v="0"/>
    <d v="2020-10-05T00:00:00"/>
    <n v="5"/>
    <x v="1"/>
    <x v="9"/>
  </r>
  <r>
    <s v="CUST0031"/>
    <s v="Michelle Day"/>
    <x v="0"/>
    <n v="65"/>
    <x v="3"/>
    <x v="1"/>
    <x v="0"/>
    <n v="138533"/>
    <x v="1"/>
    <x v="1"/>
    <d v="2017-01-07T00:00:00"/>
    <n v="9"/>
    <x v="2"/>
    <x v="4"/>
  </r>
  <r>
    <s v="CUST0032"/>
    <s v="Steven Walker"/>
    <x v="0"/>
    <n v="56"/>
    <x v="1"/>
    <x v="0"/>
    <x v="6"/>
    <n v="93781"/>
    <x v="2"/>
    <x v="1"/>
    <d v="2016-07-14T00:00:00"/>
    <n v="9"/>
    <x v="2"/>
    <x v="3"/>
  </r>
  <r>
    <s v="CUST0033"/>
    <s v="Lindsey Christensen"/>
    <x v="1"/>
    <n v="46"/>
    <x v="1"/>
    <x v="0"/>
    <x v="5"/>
    <n v="86262"/>
    <x v="2"/>
    <x v="0"/>
    <d v="2019-08-21T00:00:00"/>
    <n v="6"/>
    <x v="1"/>
    <x v="6"/>
  </r>
  <r>
    <s v="CUST0034"/>
    <s v="Brooke Carlson"/>
    <x v="1"/>
    <n v="59"/>
    <x v="1"/>
    <x v="2"/>
    <x v="4"/>
    <n v="66600"/>
    <x v="2"/>
    <x v="1"/>
    <d v="2021-11-13T00:00:00"/>
    <n v="4"/>
    <x v="1"/>
    <x v="1"/>
  </r>
  <r>
    <s v="CUST0035"/>
    <s v="Kevin Marshall"/>
    <x v="1"/>
    <n v="72"/>
    <x v="3"/>
    <x v="1"/>
    <x v="3"/>
    <n v="96898"/>
    <x v="2"/>
    <x v="1"/>
    <d v="2016-06-12T00:00:00"/>
    <n v="9"/>
    <x v="2"/>
    <x v="3"/>
  </r>
  <r>
    <s v="CUST0036"/>
    <s v="Bradley Moore"/>
    <x v="0"/>
    <n v="43"/>
    <x v="0"/>
    <x v="1"/>
    <x v="3"/>
    <n v="169369"/>
    <x v="0"/>
    <x v="0"/>
    <d v="2017-06-16T00:00:00"/>
    <n v="8"/>
    <x v="2"/>
    <x v="4"/>
  </r>
  <r>
    <s v="CUST0037"/>
    <s v="Dawn Navarro"/>
    <x v="1"/>
    <n v="52"/>
    <x v="1"/>
    <x v="1"/>
    <x v="2"/>
    <n v="50448"/>
    <x v="2"/>
    <x v="0"/>
    <d v="2017-07-06T00:00:00"/>
    <n v="8"/>
    <x v="2"/>
    <x v="4"/>
  </r>
  <r>
    <s v="CUST0038"/>
    <s v="Adam Garcia"/>
    <x v="0"/>
    <n v="67"/>
    <x v="3"/>
    <x v="1"/>
    <x v="4"/>
    <n v="46172"/>
    <x v="2"/>
    <x v="1"/>
    <d v="2021-11-07T00:00:00"/>
    <n v="4"/>
    <x v="1"/>
    <x v="1"/>
  </r>
  <r>
    <s v="CUST0039"/>
    <s v="Jorge James"/>
    <x v="0"/>
    <n v="42"/>
    <x v="0"/>
    <x v="0"/>
    <x v="1"/>
    <n v="193946"/>
    <x v="0"/>
    <x v="1"/>
    <d v="2020-08-31T00:00:00"/>
    <n v="5"/>
    <x v="1"/>
    <x v="9"/>
  </r>
  <r>
    <s v="CUST0040"/>
    <s v="Adam Montgomery"/>
    <x v="0"/>
    <n v="41"/>
    <x v="0"/>
    <x v="0"/>
    <x v="4"/>
    <n v="27657"/>
    <x v="2"/>
    <x v="1"/>
    <d v="2015-10-19T00:00:00"/>
    <n v="10"/>
    <x v="2"/>
    <x v="10"/>
  </r>
  <r>
    <s v="CUST0041"/>
    <s v="Dr. Nicole Mendez"/>
    <x v="0"/>
    <n v="30"/>
    <x v="0"/>
    <x v="3"/>
    <x v="6"/>
    <n v="176497"/>
    <x v="0"/>
    <x v="1"/>
    <d v="2017-04-28T00:00:00"/>
    <n v="8"/>
    <x v="2"/>
    <x v="4"/>
  </r>
  <r>
    <s v="CUST0042"/>
    <s v="Joseph Owens"/>
    <x v="0"/>
    <n v="24"/>
    <x v="2"/>
    <x v="3"/>
    <x v="5"/>
    <n v="177757"/>
    <x v="0"/>
    <x v="0"/>
    <d v="2016-07-25T00:00:00"/>
    <n v="9"/>
    <x v="2"/>
    <x v="3"/>
  </r>
  <r>
    <s v="CUST0043"/>
    <s v="Stephanie Ashley"/>
    <x v="1"/>
    <n v="74"/>
    <x v="3"/>
    <x v="1"/>
    <x v="5"/>
    <n v="132855"/>
    <x v="1"/>
    <x v="1"/>
    <d v="2022-07-10T00:00:00"/>
    <n v="3"/>
    <x v="0"/>
    <x v="8"/>
  </r>
  <r>
    <s v="CUST0044"/>
    <s v="Regina Harris"/>
    <x v="1"/>
    <n v="53"/>
    <x v="1"/>
    <x v="1"/>
    <x v="6"/>
    <n v="175650"/>
    <x v="0"/>
    <x v="0"/>
    <d v="2021-08-19T00:00:00"/>
    <n v="4"/>
    <x v="1"/>
    <x v="1"/>
  </r>
  <r>
    <s v="CUST0045"/>
    <s v="Ashley Miller"/>
    <x v="1"/>
    <n v="62"/>
    <x v="3"/>
    <x v="1"/>
    <x v="4"/>
    <n v="179903"/>
    <x v="0"/>
    <x v="0"/>
    <d v="2019-06-20T00:00:00"/>
    <n v="6"/>
    <x v="1"/>
    <x v="6"/>
  </r>
  <r>
    <s v="CUST0046"/>
    <s v="Keith Watson"/>
    <x v="1"/>
    <n v="37"/>
    <x v="0"/>
    <x v="3"/>
    <x v="6"/>
    <n v="27906"/>
    <x v="2"/>
    <x v="0"/>
    <d v="2021-05-07T00:00:00"/>
    <n v="4"/>
    <x v="1"/>
    <x v="1"/>
  </r>
  <r>
    <s v="CUST0047"/>
    <s v="Patricia Schneider"/>
    <x v="1"/>
    <n v="18"/>
    <x v="2"/>
    <x v="2"/>
    <x v="0"/>
    <n v="81413"/>
    <x v="2"/>
    <x v="0"/>
    <d v="2017-04-06T00:00:00"/>
    <n v="9"/>
    <x v="2"/>
    <x v="4"/>
  </r>
  <r>
    <s v="CUST0048"/>
    <s v="Deanna Watson"/>
    <x v="0"/>
    <n v="25"/>
    <x v="2"/>
    <x v="2"/>
    <x v="6"/>
    <n v="74028"/>
    <x v="2"/>
    <x v="0"/>
    <d v="2024-07-05T00:00:00"/>
    <n v="1"/>
    <x v="3"/>
    <x v="5"/>
  </r>
  <r>
    <s v="CUST0049"/>
    <s v="Samantha Davis"/>
    <x v="1"/>
    <n v="63"/>
    <x v="3"/>
    <x v="3"/>
    <x v="3"/>
    <n v="27287"/>
    <x v="2"/>
    <x v="0"/>
    <d v="2017-01-15T00:00:00"/>
    <n v="9"/>
    <x v="2"/>
    <x v="4"/>
  </r>
  <r>
    <s v="CUST0050"/>
    <s v="Michele Kim"/>
    <x v="1"/>
    <n v="33"/>
    <x v="0"/>
    <x v="3"/>
    <x v="6"/>
    <n v="53660"/>
    <x v="2"/>
    <x v="1"/>
    <d v="2023-03-07T00:00:00"/>
    <n v="3"/>
    <x v="0"/>
    <x v="0"/>
  </r>
  <r>
    <s v="CUST0051"/>
    <s v="Daniel Logan"/>
    <x v="0"/>
    <n v="31"/>
    <x v="0"/>
    <x v="3"/>
    <x v="5"/>
    <n v="80504"/>
    <x v="2"/>
    <x v="0"/>
    <d v="2016-09-09T00:00:00"/>
    <n v="9"/>
    <x v="2"/>
    <x v="3"/>
  </r>
  <r>
    <s v="CUST0052"/>
    <s v="Kimberly Valencia"/>
    <x v="1"/>
    <n v="29"/>
    <x v="0"/>
    <x v="3"/>
    <x v="3"/>
    <n v="122979"/>
    <x v="1"/>
    <x v="0"/>
    <d v="2023-05-26T00:00:00"/>
    <n v="2"/>
    <x v="0"/>
    <x v="0"/>
  </r>
  <r>
    <s v="CUST0053"/>
    <s v="Nicole Fitzpatrick"/>
    <x v="0"/>
    <n v="68"/>
    <x v="3"/>
    <x v="3"/>
    <x v="5"/>
    <n v="54701"/>
    <x v="2"/>
    <x v="0"/>
    <d v="2022-06-28T00:00:00"/>
    <n v="3"/>
    <x v="0"/>
    <x v="8"/>
  </r>
  <r>
    <s v="CUST0054"/>
    <s v="Carmen Thomas"/>
    <x v="1"/>
    <n v="40"/>
    <x v="0"/>
    <x v="3"/>
    <x v="2"/>
    <n v="103300"/>
    <x v="1"/>
    <x v="0"/>
    <d v="2020-10-03T00:00:00"/>
    <n v="5"/>
    <x v="1"/>
    <x v="9"/>
  </r>
  <r>
    <s v="CUST0055"/>
    <s v="Darius Garcia"/>
    <x v="0"/>
    <n v="32"/>
    <x v="0"/>
    <x v="1"/>
    <x v="1"/>
    <n v="168746"/>
    <x v="0"/>
    <x v="0"/>
    <d v="2022-12-21T00:00:00"/>
    <n v="3"/>
    <x v="0"/>
    <x v="8"/>
  </r>
  <r>
    <s v="CUST0056"/>
    <s v="Jackie West"/>
    <x v="1"/>
    <n v="45"/>
    <x v="1"/>
    <x v="1"/>
    <x v="5"/>
    <n v="103560"/>
    <x v="1"/>
    <x v="0"/>
    <d v="2022-05-30T00:00:00"/>
    <n v="3"/>
    <x v="0"/>
    <x v="8"/>
  </r>
  <r>
    <s v="CUST0057"/>
    <s v="Brandy Murphy"/>
    <x v="1"/>
    <n v="51"/>
    <x v="1"/>
    <x v="1"/>
    <x v="3"/>
    <n v="174946"/>
    <x v="0"/>
    <x v="1"/>
    <d v="2019-07-25T00:00:00"/>
    <n v="6"/>
    <x v="1"/>
    <x v="6"/>
  </r>
  <r>
    <s v="CUST0058"/>
    <s v="Rhonda Charles"/>
    <x v="0"/>
    <n v="19"/>
    <x v="2"/>
    <x v="1"/>
    <x v="2"/>
    <n v="63642"/>
    <x v="2"/>
    <x v="1"/>
    <d v="2019-06-06T00:00:00"/>
    <n v="6"/>
    <x v="1"/>
    <x v="6"/>
  </r>
  <r>
    <s v="CUST0059"/>
    <s v="Matthew Sanchez"/>
    <x v="0"/>
    <n v="49"/>
    <x v="1"/>
    <x v="3"/>
    <x v="5"/>
    <n v="85160"/>
    <x v="2"/>
    <x v="1"/>
    <d v="2024-03-09T00:00:00"/>
    <n v="2"/>
    <x v="0"/>
    <x v="5"/>
  </r>
  <r>
    <s v="CUST0060"/>
    <s v="Meghan Le"/>
    <x v="0"/>
    <n v="40"/>
    <x v="0"/>
    <x v="2"/>
    <x v="0"/>
    <n v="37602"/>
    <x v="2"/>
    <x v="0"/>
    <d v="2018-11-11T00:00:00"/>
    <n v="7"/>
    <x v="1"/>
    <x v="2"/>
  </r>
  <r>
    <s v="CUST0061"/>
    <s v="Ricky Fisher"/>
    <x v="0"/>
    <n v="39"/>
    <x v="0"/>
    <x v="0"/>
    <x v="6"/>
    <n v="123320"/>
    <x v="1"/>
    <x v="0"/>
    <d v="2022-11-13T00:00:00"/>
    <n v="3"/>
    <x v="0"/>
    <x v="8"/>
  </r>
  <r>
    <s v="CUST0062"/>
    <s v="Tony Bell"/>
    <x v="0"/>
    <n v="68"/>
    <x v="3"/>
    <x v="3"/>
    <x v="1"/>
    <n v="108801"/>
    <x v="1"/>
    <x v="1"/>
    <d v="2024-11-01T00:00:00"/>
    <n v="1"/>
    <x v="3"/>
    <x v="5"/>
  </r>
  <r>
    <s v="CUST0063"/>
    <s v="Matthew Ruiz"/>
    <x v="0"/>
    <n v="42"/>
    <x v="0"/>
    <x v="0"/>
    <x v="5"/>
    <n v="45931"/>
    <x v="2"/>
    <x v="0"/>
    <d v="2023-04-26T00:00:00"/>
    <n v="2"/>
    <x v="0"/>
    <x v="0"/>
  </r>
  <r>
    <s v="CUST0064"/>
    <s v="Joshua White"/>
    <x v="0"/>
    <n v="39"/>
    <x v="0"/>
    <x v="2"/>
    <x v="2"/>
    <n v="114377"/>
    <x v="1"/>
    <x v="0"/>
    <d v="2023-03-12T00:00:00"/>
    <n v="3"/>
    <x v="0"/>
    <x v="0"/>
  </r>
  <r>
    <s v="CUST0065"/>
    <s v="Crystal Smith"/>
    <x v="0"/>
    <n v="39"/>
    <x v="0"/>
    <x v="1"/>
    <x v="0"/>
    <n v="49192"/>
    <x v="2"/>
    <x v="0"/>
    <d v="2020-10-15T00:00:00"/>
    <n v="5"/>
    <x v="1"/>
    <x v="9"/>
  </r>
  <r>
    <s v="CUST0066"/>
    <s v="Felicia Nelson"/>
    <x v="1"/>
    <n v="66"/>
    <x v="3"/>
    <x v="2"/>
    <x v="4"/>
    <n v="66542"/>
    <x v="2"/>
    <x v="0"/>
    <d v="2017-12-22T00:00:00"/>
    <n v="8"/>
    <x v="2"/>
    <x v="4"/>
  </r>
  <r>
    <s v="CUST0067"/>
    <s v="Jessica Williams"/>
    <x v="1"/>
    <n v="69"/>
    <x v="3"/>
    <x v="3"/>
    <x v="2"/>
    <n v="147015"/>
    <x v="1"/>
    <x v="0"/>
    <d v="2023-03-11T00:00:00"/>
    <n v="3"/>
    <x v="0"/>
    <x v="0"/>
  </r>
  <r>
    <s v="CUST0068"/>
    <s v="Barbara Gonzalez"/>
    <x v="0"/>
    <n v="59"/>
    <x v="1"/>
    <x v="1"/>
    <x v="6"/>
    <n v="62520"/>
    <x v="2"/>
    <x v="0"/>
    <d v="2017-11-30T00:00:00"/>
    <n v="8"/>
    <x v="2"/>
    <x v="4"/>
  </r>
  <r>
    <s v="CUST0069"/>
    <s v="Amanda Beck"/>
    <x v="1"/>
    <n v="23"/>
    <x v="2"/>
    <x v="3"/>
    <x v="2"/>
    <n v="84772"/>
    <x v="2"/>
    <x v="0"/>
    <d v="2018-08-29T00:00:00"/>
    <n v="7"/>
    <x v="1"/>
    <x v="2"/>
  </r>
  <r>
    <s v="CUST0070"/>
    <s v="Bob Stout"/>
    <x v="1"/>
    <n v="32"/>
    <x v="0"/>
    <x v="1"/>
    <x v="0"/>
    <n v="70106"/>
    <x v="2"/>
    <x v="0"/>
    <d v="2024-07-04T00:00:00"/>
    <n v="1"/>
    <x v="3"/>
    <x v="5"/>
  </r>
  <r>
    <s v="CUST0071"/>
    <s v="Ashley Johnson"/>
    <x v="1"/>
    <n v="71"/>
    <x v="3"/>
    <x v="0"/>
    <x v="2"/>
    <n v="101121"/>
    <x v="1"/>
    <x v="1"/>
    <d v="2025-06-07T00:00:00"/>
    <n v="0"/>
    <x v="3"/>
    <x v="7"/>
  </r>
  <r>
    <s v="CUST0072"/>
    <s v="Billy Hendrix Jr."/>
    <x v="1"/>
    <n v="60"/>
    <x v="1"/>
    <x v="0"/>
    <x v="0"/>
    <n v="45559"/>
    <x v="2"/>
    <x v="1"/>
    <d v="2016-03-28T00:00:00"/>
    <n v="10"/>
    <x v="2"/>
    <x v="3"/>
  </r>
  <r>
    <s v="CUST0073"/>
    <s v="Sarah Brown"/>
    <x v="0"/>
    <n v="54"/>
    <x v="1"/>
    <x v="0"/>
    <x v="5"/>
    <n v="125595"/>
    <x v="1"/>
    <x v="1"/>
    <d v="2020-04-08T00:00:00"/>
    <n v="6"/>
    <x v="1"/>
    <x v="9"/>
  </r>
  <r>
    <s v="CUST0074"/>
    <s v="Christopher Chapman"/>
    <x v="1"/>
    <n v="50"/>
    <x v="1"/>
    <x v="2"/>
    <x v="0"/>
    <n v="53742"/>
    <x v="2"/>
    <x v="1"/>
    <d v="2025-01-20T00:00:00"/>
    <n v="1"/>
    <x v="3"/>
    <x v="7"/>
  </r>
  <r>
    <s v="CUST0075"/>
    <s v="Stephen Jacobs"/>
    <x v="0"/>
    <n v="25"/>
    <x v="2"/>
    <x v="3"/>
    <x v="0"/>
    <n v="89669"/>
    <x v="2"/>
    <x v="2"/>
    <d v="2018-07-28T00:00:00"/>
    <n v="7"/>
    <x v="1"/>
    <x v="2"/>
  </r>
  <r>
    <s v="CUST0076"/>
    <s v="Pamela Johnson"/>
    <x v="1"/>
    <n v="70"/>
    <x v="3"/>
    <x v="2"/>
    <x v="1"/>
    <n v="172826"/>
    <x v="0"/>
    <x v="0"/>
    <d v="2017-07-01T00:00:00"/>
    <n v="8"/>
    <x v="2"/>
    <x v="4"/>
  </r>
  <r>
    <s v="CUST0077"/>
    <s v="Bryan Butler"/>
    <x v="1"/>
    <n v="61"/>
    <x v="3"/>
    <x v="0"/>
    <x v="0"/>
    <n v="155044"/>
    <x v="0"/>
    <x v="0"/>
    <d v="2022-01-23T00:00:00"/>
    <n v="4"/>
    <x v="1"/>
    <x v="8"/>
  </r>
  <r>
    <s v="CUST0078"/>
    <s v="Jenna Butler"/>
    <x v="1"/>
    <n v="61"/>
    <x v="3"/>
    <x v="3"/>
    <x v="0"/>
    <n v="90831"/>
    <x v="2"/>
    <x v="0"/>
    <d v="2018-07-21T00:00:00"/>
    <n v="7"/>
    <x v="1"/>
    <x v="2"/>
  </r>
  <r>
    <s v="CUST0079"/>
    <s v="Richard Bennett"/>
    <x v="0"/>
    <n v="22"/>
    <x v="2"/>
    <x v="0"/>
    <x v="4"/>
    <n v="132217"/>
    <x v="1"/>
    <x v="1"/>
    <d v="2022-01-04T00:00:00"/>
    <n v="4"/>
    <x v="1"/>
    <x v="8"/>
  </r>
  <r>
    <s v="CUST0080"/>
    <s v="Kevin Young"/>
    <x v="1"/>
    <n v="56"/>
    <x v="1"/>
    <x v="2"/>
    <x v="5"/>
    <n v="61873"/>
    <x v="2"/>
    <x v="1"/>
    <d v="2018-04-10T00:00:00"/>
    <n v="8"/>
    <x v="2"/>
    <x v="2"/>
  </r>
  <r>
    <s v="CUST0081"/>
    <s v="Taylor Perkins"/>
    <x v="0"/>
    <n v="21"/>
    <x v="2"/>
    <x v="2"/>
    <x v="6"/>
    <n v="126532"/>
    <x v="1"/>
    <x v="0"/>
    <d v="2023-03-26T00:00:00"/>
    <n v="3"/>
    <x v="0"/>
    <x v="0"/>
  </r>
  <r>
    <s v="CUST0082"/>
    <s v="Marcus Miller"/>
    <x v="1"/>
    <n v="23"/>
    <x v="2"/>
    <x v="2"/>
    <x v="1"/>
    <n v="146267"/>
    <x v="1"/>
    <x v="2"/>
    <d v="2025-05-14T00:00:00"/>
    <n v="0"/>
    <x v="3"/>
    <x v="7"/>
  </r>
  <r>
    <s v="CUST0083"/>
    <s v="Joseph Burns"/>
    <x v="0"/>
    <n v="62"/>
    <x v="3"/>
    <x v="0"/>
    <x v="4"/>
    <n v="160975"/>
    <x v="0"/>
    <x v="0"/>
    <d v="2021-04-16T00:00:00"/>
    <n v="5"/>
    <x v="1"/>
    <x v="1"/>
  </r>
  <r>
    <s v="CUST0084"/>
    <s v="Carlos Watson"/>
    <x v="1"/>
    <n v="49"/>
    <x v="1"/>
    <x v="3"/>
    <x v="3"/>
    <n v="154092"/>
    <x v="0"/>
    <x v="2"/>
    <d v="2021-04-02T00:00:00"/>
    <n v="5"/>
    <x v="1"/>
    <x v="1"/>
  </r>
  <r>
    <s v="CUST0085"/>
    <s v="John Ruiz"/>
    <x v="0"/>
    <n v="69"/>
    <x v="3"/>
    <x v="3"/>
    <x v="5"/>
    <n v="61755"/>
    <x v="2"/>
    <x v="0"/>
    <d v="2020-01-08T00:00:00"/>
    <n v="6"/>
    <x v="1"/>
    <x v="9"/>
  </r>
  <r>
    <s v="CUST0086"/>
    <s v="Ashley Lewis"/>
    <x v="0"/>
    <n v="47"/>
    <x v="1"/>
    <x v="0"/>
    <x v="5"/>
    <n v="105956"/>
    <x v="1"/>
    <x v="0"/>
    <d v="2021-03-30T00:00:00"/>
    <n v="5"/>
    <x v="1"/>
    <x v="1"/>
  </r>
  <r>
    <s v="CUST0087"/>
    <s v="Jack Coleman"/>
    <x v="1"/>
    <n v="64"/>
    <x v="3"/>
    <x v="3"/>
    <x v="3"/>
    <n v="106988"/>
    <x v="1"/>
    <x v="0"/>
    <d v="2025-06-03T00:00:00"/>
    <n v="0"/>
    <x v="3"/>
    <x v="7"/>
  </r>
  <r>
    <s v="CUST0088"/>
    <s v="Amanda Hall"/>
    <x v="0"/>
    <n v="52"/>
    <x v="1"/>
    <x v="0"/>
    <x v="6"/>
    <n v="65648"/>
    <x v="2"/>
    <x v="0"/>
    <d v="2019-10-06T00:00:00"/>
    <n v="6"/>
    <x v="1"/>
    <x v="6"/>
  </r>
  <r>
    <s v="CUST0089"/>
    <s v="Elizabeth Brown"/>
    <x v="1"/>
    <n v="72"/>
    <x v="3"/>
    <x v="3"/>
    <x v="0"/>
    <n v="145991"/>
    <x v="1"/>
    <x v="0"/>
    <d v="2021-01-09T00:00:00"/>
    <n v="5"/>
    <x v="1"/>
    <x v="1"/>
  </r>
  <r>
    <s v="CUST0090"/>
    <s v="Edward Ramirez"/>
    <x v="1"/>
    <n v="57"/>
    <x v="1"/>
    <x v="1"/>
    <x v="4"/>
    <n v="160588"/>
    <x v="0"/>
    <x v="0"/>
    <d v="2015-08-23T00:00:00"/>
    <n v="10"/>
    <x v="2"/>
    <x v="10"/>
  </r>
  <r>
    <s v="CUST0091"/>
    <s v="Christopher Smith"/>
    <x v="1"/>
    <n v="69"/>
    <x v="3"/>
    <x v="1"/>
    <x v="2"/>
    <n v="135005"/>
    <x v="1"/>
    <x v="1"/>
    <d v="2022-08-02T00:00:00"/>
    <n v="3"/>
    <x v="0"/>
    <x v="8"/>
  </r>
  <r>
    <s v="CUST0092"/>
    <s v="Amanda Nelson"/>
    <x v="1"/>
    <n v="33"/>
    <x v="0"/>
    <x v="2"/>
    <x v="1"/>
    <n v="22396"/>
    <x v="2"/>
    <x v="0"/>
    <d v="2016-06-10T00:00:00"/>
    <n v="9"/>
    <x v="2"/>
    <x v="3"/>
  </r>
  <r>
    <s v="CUST0093"/>
    <s v="Miguel Rodriguez"/>
    <x v="1"/>
    <n v="30"/>
    <x v="0"/>
    <x v="1"/>
    <x v="2"/>
    <n v="104082"/>
    <x v="1"/>
    <x v="0"/>
    <d v="2018-01-02T00:00:00"/>
    <n v="8"/>
    <x v="2"/>
    <x v="2"/>
  </r>
  <r>
    <s v="CUST0094"/>
    <s v="Timothy Gutierrez"/>
    <x v="1"/>
    <n v="67"/>
    <x v="3"/>
    <x v="1"/>
    <x v="3"/>
    <n v="170201"/>
    <x v="0"/>
    <x v="1"/>
    <d v="2023-11-04T00:00:00"/>
    <n v="2"/>
    <x v="0"/>
    <x v="0"/>
  </r>
  <r>
    <s v="CUST0095"/>
    <s v="Christopher Miller"/>
    <x v="1"/>
    <n v="59"/>
    <x v="1"/>
    <x v="1"/>
    <x v="5"/>
    <n v="148322"/>
    <x v="1"/>
    <x v="1"/>
    <d v="2021-07-04T00:00:00"/>
    <n v="4"/>
    <x v="1"/>
    <x v="1"/>
  </r>
  <r>
    <s v="CUST0096"/>
    <s v="Scott Bailey"/>
    <x v="1"/>
    <n v="47"/>
    <x v="1"/>
    <x v="0"/>
    <x v="6"/>
    <n v="152663"/>
    <x v="0"/>
    <x v="0"/>
    <d v="2017-08-29T00:00:00"/>
    <n v="8"/>
    <x v="2"/>
    <x v="4"/>
  </r>
  <r>
    <s v="CUST0097"/>
    <s v="Danielle Newman"/>
    <x v="1"/>
    <n v="36"/>
    <x v="0"/>
    <x v="1"/>
    <x v="5"/>
    <n v="31303"/>
    <x v="2"/>
    <x v="0"/>
    <d v="2017-12-22T00:00:00"/>
    <n v="8"/>
    <x v="2"/>
    <x v="4"/>
  </r>
  <r>
    <s v="CUST0098"/>
    <s v="Jeremy Jones"/>
    <x v="1"/>
    <n v="34"/>
    <x v="0"/>
    <x v="1"/>
    <x v="1"/>
    <n v="181633"/>
    <x v="0"/>
    <x v="0"/>
    <d v="2023-06-22T00:00:00"/>
    <n v="2"/>
    <x v="0"/>
    <x v="0"/>
  </r>
  <r>
    <s v="CUST0099"/>
    <s v="Alexis Avila"/>
    <x v="1"/>
    <n v="73"/>
    <x v="3"/>
    <x v="2"/>
    <x v="5"/>
    <n v="91719"/>
    <x v="2"/>
    <x v="0"/>
    <d v="2020-11-19T00:00:00"/>
    <n v="5"/>
    <x v="1"/>
    <x v="9"/>
  </r>
  <r>
    <s v="CUST0100"/>
    <s v="Leslie Buchanan"/>
    <x v="0"/>
    <n v="36"/>
    <x v="0"/>
    <x v="1"/>
    <x v="5"/>
    <n v="119616"/>
    <x v="1"/>
    <x v="1"/>
    <d v="2023-01-16T00:00:00"/>
    <n v="3"/>
    <x v="0"/>
    <x v="0"/>
  </r>
  <r>
    <s v="CUST0101"/>
    <s v="Robert Wright"/>
    <x v="0"/>
    <n v="45"/>
    <x v="1"/>
    <x v="1"/>
    <x v="1"/>
    <n v="144165"/>
    <x v="1"/>
    <x v="0"/>
    <d v="2020-07-06T00:00:00"/>
    <n v="5"/>
    <x v="1"/>
    <x v="9"/>
  </r>
  <r>
    <s v="CUST0102"/>
    <s v="Patrick Moore"/>
    <x v="1"/>
    <n v="72"/>
    <x v="3"/>
    <x v="3"/>
    <x v="4"/>
    <n v="106231"/>
    <x v="1"/>
    <x v="0"/>
    <d v="2021-12-30T00:00:00"/>
    <n v="4"/>
    <x v="1"/>
    <x v="1"/>
  </r>
  <r>
    <s v="CUST0103"/>
    <s v="Donna Perkins"/>
    <x v="1"/>
    <n v="43"/>
    <x v="0"/>
    <x v="2"/>
    <x v="4"/>
    <n v="27314"/>
    <x v="2"/>
    <x v="1"/>
    <d v="2022-05-25T00:00:00"/>
    <n v="3"/>
    <x v="0"/>
    <x v="8"/>
  </r>
  <r>
    <s v="CUST0104"/>
    <s v="Matthew Palmer"/>
    <x v="1"/>
    <n v="54"/>
    <x v="1"/>
    <x v="2"/>
    <x v="1"/>
    <n v="39623"/>
    <x v="2"/>
    <x v="0"/>
    <d v="2016-10-02T00:00:00"/>
    <n v="9"/>
    <x v="2"/>
    <x v="3"/>
  </r>
  <r>
    <s v="CUST0105"/>
    <s v="Eric Mayer"/>
    <x v="1"/>
    <n v="43"/>
    <x v="0"/>
    <x v="2"/>
    <x v="6"/>
    <n v="125228"/>
    <x v="1"/>
    <x v="0"/>
    <d v="2025-04-01T00:00:00"/>
    <n v="1"/>
    <x v="3"/>
    <x v="7"/>
  </r>
  <r>
    <s v="CUST0106"/>
    <s v="Linda Lopez"/>
    <x v="1"/>
    <n v="70"/>
    <x v="3"/>
    <x v="2"/>
    <x v="3"/>
    <n v="184202"/>
    <x v="0"/>
    <x v="0"/>
    <d v="2017-07-24T00:00:00"/>
    <n v="8"/>
    <x v="2"/>
    <x v="4"/>
  </r>
  <r>
    <s v="CUST0107"/>
    <s v="Andrew Flynn"/>
    <x v="1"/>
    <n v="40"/>
    <x v="0"/>
    <x v="2"/>
    <x v="5"/>
    <n v="117624"/>
    <x v="1"/>
    <x v="2"/>
    <d v="2025-03-04T00:00:00"/>
    <n v="1"/>
    <x v="3"/>
    <x v="7"/>
  </r>
  <r>
    <s v="CUST0108"/>
    <s v="Carmen Graham"/>
    <x v="1"/>
    <n v="26"/>
    <x v="2"/>
    <x v="2"/>
    <x v="6"/>
    <n v="177364"/>
    <x v="0"/>
    <x v="0"/>
    <d v="2021-01-28T00:00:00"/>
    <n v="5"/>
    <x v="1"/>
    <x v="1"/>
  </r>
  <r>
    <s v="CUST0109"/>
    <s v="Emily Scott"/>
    <x v="1"/>
    <n v="29"/>
    <x v="0"/>
    <x v="0"/>
    <x v="5"/>
    <n v="131785"/>
    <x v="1"/>
    <x v="1"/>
    <d v="2020-09-03T00:00:00"/>
    <n v="5"/>
    <x v="1"/>
    <x v="9"/>
  </r>
  <r>
    <s v="CUST0110"/>
    <s v="Jose Decker"/>
    <x v="0"/>
    <n v="70"/>
    <x v="3"/>
    <x v="1"/>
    <x v="3"/>
    <n v="106206"/>
    <x v="1"/>
    <x v="0"/>
    <d v="2018-06-05T00:00:00"/>
    <n v="7"/>
    <x v="1"/>
    <x v="2"/>
  </r>
  <r>
    <s v="CUST0111"/>
    <s v="Anita White"/>
    <x v="1"/>
    <n v="18"/>
    <x v="2"/>
    <x v="2"/>
    <x v="4"/>
    <n v="89274"/>
    <x v="2"/>
    <x v="0"/>
    <d v="2019-07-11T00:00:00"/>
    <n v="6"/>
    <x v="1"/>
    <x v="6"/>
  </r>
  <r>
    <s v="CUST0112"/>
    <s v="Daniel Adams"/>
    <x v="0"/>
    <n v="18"/>
    <x v="2"/>
    <x v="1"/>
    <x v="6"/>
    <n v="153541"/>
    <x v="0"/>
    <x v="1"/>
    <d v="2020-04-10T00:00:00"/>
    <n v="6"/>
    <x v="1"/>
    <x v="9"/>
  </r>
  <r>
    <s v="CUST0113"/>
    <s v="Anthony Ramos"/>
    <x v="1"/>
    <n v="64"/>
    <x v="3"/>
    <x v="1"/>
    <x v="0"/>
    <n v="73947"/>
    <x v="2"/>
    <x v="2"/>
    <d v="2016-03-16T00:00:00"/>
    <n v="10"/>
    <x v="2"/>
    <x v="3"/>
  </r>
  <r>
    <s v="CUST0114"/>
    <s v="Megan Proctor"/>
    <x v="1"/>
    <n v="51"/>
    <x v="1"/>
    <x v="0"/>
    <x v="0"/>
    <n v="173606"/>
    <x v="0"/>
    <x v="1"/>
    <d v="2019-07-12T00:00:00"/>
    <n v="6"/>
    <x v="1"/>
    <x v="6"/>
  </r>
  <r>
    <s v="CUST0115"/>
    <s v="Sarah Guzman"/>
    <x v="0"/>
    <n v="49"/>
    <x v="1"/>
    <x v="2"/>
    <x v="0"/>
    <n v="68874"/>
    <x v="2"/>
    <x v="1"/>
    <d v="2024-08-28T00:00:00"/>
    <n v="1"/>
    <x v="3"/>
    <x v="5"/>
  </r>
  <r>
    <s v="CUST0116"/>
    <s v="Guy Hughes"/>
    <x v="1"/>
    <n v="71"/>
    <x v="3"/>
    <x v="3"/>
    <x v="4"/>
    <n v="69708"/>
    <x v="2"/>
    <x v="1"/>
    <d v="2025-05-20T00:00:00"/>
    <n v="0"/>
    <x v="3"/>
    <x v="7"/>
  </r>
  <r>
    <s v="CUST0117"/>
    <s v="Heidi Sharp"/>
    <x v="0"/>
    <n v="65"/>
    <x v="3"/>
    <x v="0"/>
    <x v="4"/>
    <n v="94553"/>
    <x v="2"/>
    <x v="0"/>
    <d v="2025-02-18T00:00:00"/>
    <n v="1"/>
    <x v="3"/>
    <x v="7"/>
  </r>
  <r>
    <s v="CUST0118"/>
    <s v="Shawn Randolph"/>
    <x v="1"/>
    <n v="42"/>
    <x v="0"/>
    <x v="3"/>
    <x v="3"/>
    <n v="88344"/>
    <x v="2"/>
    <x v="0"/>
    <d v="2025-03-04T00:00:00"/>
    <n v="1"/>
    <x v="3"/>
    <x v="7"/>
  </r>
  <r>
    <s v="CUST0119"/>
    <s v="Valerie Kelley"/>
    <x v="1"/>
    <n v="57"/>
    <x v="1"/>
    <x v="1"/>
    <x v="5"/>
    <n v="69138"/>
    <x v="2"/>
    <x v="1"/>
    <d v="2019-12-22T00:00:00"/>
    <n v="6"/>
    <x v="1"/>
    <x v="6"/>
  </r>
  <r>
    <s v="CUST0120"/>
    <s v="Sherri Webb"/>
    <x v="0"/>
    <n v="62"/>
    <x v="3"/>
    <x v="1"/>
    <x v="3"/>
    <n v="67638"/>
    <x v="2"/>
    <x v="0"/>
    <d v="2019-03-31T00:00:00"/>
    <n v="7"/>
    <x v="1"/>
    <x v="6"/>
  </r>
  <r>
    <s v="CUST0121"/>
    <s v="Mary Cole"/>
    <x v="1"/>
    <n v="70"/>
    <x v="3"/>
    <x v="0"/>
    <x v="3"/>
    <n v="98249"/>
    <x v="2"/>
    <x v="1"/>
    <d v="2023-06-17T00:00:00"/>
    <n v="2"/>
    <x v="0"/>
    <x v="0"/>
  </r>
  <r>
    <s v="CUST0122"/>
    <s v="Mariah Hernandez"/>
    <x v="0"/>
    <n v="18"/>
    <x v="2"/>
    <x v="0"/>
    <x v="4"/>
    <n v="125865"/>
    <x v="1"/>
    <x v="2"/>
    <d v="2015-09-23T00:00:00"/>
    <n v="10"/>
    <x v="2"/>
    <x v="10"/>
  </r>
  <r>
    <s v="CUST0123"/>
    <s v="Kerry Frazier"/>
    <x v="1"/>
    <n v="33"/>
    <x v="0"/>
    <x v="3"/>
    <x v="0"/>
    <n v="22719"/>
    <x v="2"/>
    <x v="0"/>
    <d v="2017-07-05T00:00:00"/>
    <n v="8"/>
    <x v="2"/>
    <x v="4"/>
  </r>
  <r>
    <s v="CUST0124"/>
    <s v="David Smith"/>
    <x v="0"/>
    <n v="56"/>
    <x v="1"/>
    <x v="2"/>
    <x v="2"/>
    <n v="173962"/>
    <x v="0"/>
    <x v="0"/>
    <d v="2022-07-10T00:00:00"/>
    <n v="3"/>
    <x v="0"/>
    <x v="8"/>
  </r>
  <r>
    <s v="CUST0125"/>
    <s v="Juan Rodriguez"/>
    <x v="0"/>
    <n v="22"/>
    <x v="2"/>
    <x v="3"/>
    <x v="5"/>
    <n v="187581"/>
    <x v="0"/>
    <x v="1"/>
    <d v="2017-01-19T00:00:00"/>
    <n v="9"/>
    <x v="2"/>
    <x v="4"/>
  </r>
  <r>
    <s v="CUST0126"/>
    <s v="Jessica Walker"/>
    <x v="1"/>
    <n v="39"/>
    <x v="0"/>
    <x v="0"/>
    <x v="4"/>
    <n v="62534"/>
    <x v="2"/>
    <x v="0"/>
    <d v="2020-03-01T00:00:00"/>
    <n v="6"/>
    <x v="1"/>
    <x v="9"/>
  </r>
  <r>
    <s v="CUST0127"/>
    <s v="Jennifer Watkins DDS"/>
    <x v="1"/>
    <n v="46"/>
    <x v="1"/>
    <x v="3"/>
    <x v="0"/>
    <n v="112241"/>
    <x v="1"/>
    <x v="1"/>
    <d v="2016-01-05T00:00:00"/>
    <n v="10"/>
    <x v="2"/>
    <x v="3"/>
  </r>
  <r>
    <s v="CUST0128"/>
    <s v="Jessica Ward"/>
    <x v="0"/>
    <n v="72"/>
    <x v="3"/>
    <x v="0"/>
    <x v="6"/>
    <n v="169859"/>
    <x v="0"/>
    <x v="0"/>
    <d v="2023-04-23T00:00:00"/>
    <n v="2"/>
    <x v="0"/>
    <x v="0"/>
  </r>
  <r>
    <s v="CUST0129"/>
    <s v="Jeanette Greene"/>
    <x v="1"/>
    <n v="20"/>
    <x v="2"/>
    <x v="3"/>
    <x v="2"/>
    <n v="146209"/>
    <x v="1"/>
    <x v="1"/>
    <d v="2019-02-21T00:00:00"/>
    <n v="7"/>
    <x v="1"/>
    <x v="6"/>
  </r>
  <r>
    <s v="CUST0130"/>
    <s v="Michael Jensen"/>
    <x v="1"/>
    <n v="29"/>
    <x v="0"/>
    <x v="0"/>
    <x v="2"/>
    <n v="199917"/>
    <x v="0"/>
    <x v="0"/>
    <d v="2024-07-25T00:00:00"/>
    <n v="1"/>
    <x v="3"/>
    <x v="5"/>
  </r>
  <r>
    <s v="CUST0131"/>
    <s v="Michael Velasquez"/>
    <x v="1"/>
    <n v="43"/>
    <x v="0"/>
    <x v="0"/>
    <x v="4"/>
    <n v="112124"/>
    <x v="1"/>
    <x v="1"/>
    <d v="2020-05-04T00:00:00"/>
    <n v="5"/>
    <x v="1"/>
    <x v="9"/>
  </r>
  <r>
    <s v="CUST0132"/>
    <s v="Kendra Diaz"/>
    <x v="0"/>
    <n v="33"/>
    <x v="0"/>
    <x v="0"/>
    <x v="1"/>
    <n v="111659"/>
    <x v="1"/>
    <x v="0"/>
    <d v="2018-02-12T00:00:00"/>
    <n v="8"/>
    <x v="2"/>
    <x v="2"/>
  </r>
  <r>
    <s v="CUST0133"/>
    <s v="Lydia Ford"/>
    <x v="0"/>
    <n v="68"/>
    <x v="3"/>
    <x v="2"/>
    <x v="5"/>
    <n v="184134"/>
    <x v="0"/>
    <x v="0"/>
    <d v="2021-09-15T00:00:00"/>
    <n v="4"/>
    <x v="1"/>
    <x v="1"/>
  </r>
  <r>
    <s v="CUST0134"/>
    <s v="Sherry Guerrero"/>
    <x v="0"/>
    <n v="54"/>
    <x v="1"/>
    <x v="3"/>
    <x v="2"/>
    <n v="95713"/>
    <x v="2"/>
    <x v="0"/>
    <d v="2018-07-21T00:00:00"/>
    <n v="7"/>
    <x v="1"/>
    <x v="2"/>
  </r>
  <r>
    <s v="CUST0135"/>
    <s v="Dr. Sarah Perez"/>
    <x v="0"/>
    <n v="39"/>
    <x v="0"/>
    <x v="3"/>
    <x v="4"/>
    <n v="95418"/>
    <x v="2"/>
    <x v="1"/>
    <d v="2018-06-11T00:00:00"/>
    <n v="7"/>
    <x v="1"/>
    <x v="2"/>
  </r>
  <r>
    <s v="CUST0136"/>
    <s v="Andrea Taylor"/>
    <x v="0"/>
    <n v="74"/>
    <x v="3"/>
    <x v="3"/>
    <x v="4"/>
    <n v="148232"/>
    <x v="1"/>
    <x v="1"/>
    <d v="2024-05-27T00:00:00"/>
    <n v="1"/>
    <x v="3"/>
    <x v="5"/>
  </r>
  <r>
    <s v="CUST0137"/>
    <s v="Jamie Perry"/>
    <x v="0"/>
    <n v="46"/>
    <x v="1"/>
    <x v="0"/>
    <x v="0"/>
    <n v="185904"/>
    <x v="0"/>
    <x v="0"/>
    <d v="2019-05-09T00:00:00"/>
    <n v="6"/>
    <x v="1"/>
    <x v="6"/>
  </r>
  <r>
    <s v="CUST0138"/>
    <s v="Jacqueline Murphy"/>
    <x v="0"/>
    <n v="31"/>
    <x v="0"/>
    <x v="3"/>
    <x v="6"/>
    <n v="183038"/>
    <x v="0"/>
    <x v="0"/>
    <d v="2017-03-23T00:00:00"/>
    <n v="9"/>
    <x v="2"/>
    <x v="4"/>
  </r>
  <r>
    <s v="CUST0139"/>
    <s v="Julie Lynch"/>
    <x v="0"/>
    <n v="45"/>
    <x v="1"/>
    <x v="3"/>
    <x v="1"/>
    <n v="164059"/>
    <x v="0"/>
    <x v="0"/>
    <d v="2024-11-23T00:00:00"/>
    <n v="1"/>
    <x v="3"/>
    <x v="5"/>
  </r>
  <r>
    <s v="CUST0140"/>
    <s v="Corey Wilson"/>
    <x v="0"/>
    <n v="22"/>
    <x v="2"/>
    <x v="0"/>
    <x v="5"/>
    <n v="188383"/>
    <x v="0"/>
    <x v="1"/>
    <d v="2018-09-28T00:00:00"/>
    <n v="7"/>
    <x v="1"/>
    <x v="2"/>
  </r>
  <r>
    <s v="CUST0141"/>
    <s v="Nicole Huynh"/>
    <x v="1"/>
    <n v="64"/>
    <x v="3"/>
    <x v="1"/>
    <x v="3"/>
    <n v="51575"/>
    <x v="2"/>
    <x v="1"/>
    <d v="2018-08-14T00:00:00"/>
    <n v="7"/>
    <x v="1"/>
    <x v="2"/>
  </r>
  <r>
    <s v="CUST0142"/>
    <s v="Charles Chapman"/>
    <x v="0"/>
    <n v="66"/>
    <x v="3"/>
    <x v="0"/>
    <x v="6"/>
    <n v="83852"/>
    <x v="2"/>
    <x v="0"/>
    <d v="2024-09-25T00:00:00"/>
    <n v="1"/>
    <x v="3"/>
    <x v="5"/>
  </r>
  <r>
    <s v="CUST0143"/>
    <s v="Jamie Spencer"/>
    <x v="1"/>
    <n v="47"/>
    <x v="1"/>
    <x v="3"/>
    <x v="6"/>
    <n v="152079"/>
    <x v="0"/>
    <x v="0"/>
    <d v="2021-11-28T00:00:00"/>
    <n v="4"/>
    <x v="1"/>
    <x v="1"/>
  </r>
  <r>
    <s v="CUST0144"/>
    <s v="Philip Ochoa"/>
    <x v="1"/>
    <n v="63"/>
    <x v="3"/>
    <x v="0"/>
    <x v="0"/>
    <n v="96242"/>
    <x v="2"/>
    <x v="0"/>
    <d v="2017-12-15T00:00:00"/>
    <n v="8"/>
    <x v="2"/>
    <x v="4"/>
  </r>
  <r>
    <s v="CUST0145"/>
    <s v="Albert Jones"/>
    <x v="1"/>
    <n v="69"/>
    <x v="3"/>
    <x v="1"/>
    <x v="2"/>
    <n v="198589"/>
    <x v="0"/>
    <x v="0"/>
    <d v="2019-05-03T00:00:00"/>
    <n v="6"/>
    <x v="1"/>
    <x v="6"/>
  </r>
  <r>
    <s v="CUST0146"/>
    <s v="Veronica Mullins"/>
    <x v="0"/>
    <n v="22"/>
    <x v="2"/>
    <x v="0"/>
    <x v="2"/>
    <n v="49257"/>
    <x v="2"/>
    <x v="0"/>
    <d v="2020-07-17T00:00:00"/>
    <n v="5"/>
    <x v="1"/>
    <x v="9"/>
  </r>
  <r>
    <s v="CUST0147"/>
    <s v="Christina Wood"/>
    <x v="0"/>
    <n v="29"/>
    <x v="0"/>
    <x v="3"/>
    <x v="0"/>
    <n v="193279"/>
    <x v="0"/>
    <x v="2"/>
    <d v="2020-02-27T00:00:00"/>
    <n v="6"/>
    <x v="1"/>
    <x v="9"/>
  </r>
  <r>
    <s v="CUST0148"/>
    <s v="Thomas Fowler"/>
    <x v="0"/>
    <n v="33"/>
    <x v="0"/>
    <x v="1"/>
    <x v="4"/>
    <n v="164353"/>
    <x v="0"/>
    <x v="0"/>
    <d v="2018-08-25T00:00:00"/>
    <n v="7"/>
    <x v="1"/>
    <x v="2"/>
  </r>
  <r>
    <s v="CUST0149"/>
    <s v="Nicholas Hicks"/>
    <x v="0"/>
    <n v="43"/>
    <x v="0"/>
    <x v="2"/>
    <x v="2"/>
    <n v="81246"/>
    <x v="2"/>
    <x v="1"/>
    <d v="2022-11-28T00:00:00"/>
    <n v="3"/>
    <x v="0"/>
    <x v="8"/>
  </r>
  <r>
    <s v="CUST0150"/>
    <s v="Abigail Allen"/>
    <x v="1"/>
    <n v="43"/>
    <x v="0"/>
    <x v="3"/>
    <x v="1"/>
    <n v="21435"/>
    <x v="2"/>
    <x v="0"/>
    <d v="2020-07-03T00:00:00"/>
    <n v="5"/>
    <x v="1"/>
    <x v="9"/>
  </r>
  <r>
    <s v="CUST0151"/>
    <s v="Makayla Sawyer"/>
    <x v="0"/>
    <n v="65"/>
    <x v="3"/>
    <x v="1"/>
    <x v="5"/>
    <n v="111357"/>
    <x v="1"/>
    <x v="0"/>
    <d v="2020-04-28T00:00:00"/>
    <n v="5"/>
    <x v="1"/>
    <x v="9"/>
  </r>
  <r>
    <s v="CUST0152"/>
    <s v="Eric Gomez"/>
    <x v="0"/>
    <n v="38"/>
    <x v="0"/>
    <x v="1"/>
    <x v="6"/>
    <n v="177732"/>
    <x v="0"/>
    <x v="1"/>
    <d v="2018-11-05T00:00:00"/>
    <n v="7"/>
    <x v="1"/>
    <x v="2"/>
  </r>
  <r>
    <s v="CUST0153"/>
    <s v="Patrick Pope"/>
    <x v="0"/>
    <n v="56"/>
    <x v="1"/>
    <x v="2"/>
    <x v="6"/>
    <n v="156156"/>
    <x v="0"/>
    <x v="1"/>
    <d v="2015-12-27T00:00:00"/>
    <n v="10"/>
    <x v="2"/>
    <x v="10"/>
  </r>
  <r>
    <s v="CUST0154"/>
    <s v="Kristen Ross"/>
    <x v="0"/>
    <n v="53"/>
    <x v="1"/>
    <x v="0"/>
    <x v="1"/>
    <n v="164579"/>
    <x v="0"/>
    <x v="2"/>
    <d v="2015-10-03T00:00:00"/>
    <n v="10"/>
    <x v="2"/>
    <x v="10"/>
  </r>
  <r>
    <s v="CUST0155"/>
    <s v="James Ewing DDS"/>
    <x v="0"/>
    <n v="50"/>
    <x v="1"/>
    <x v="0"/>
    <x v="2"/>
    <n v="103807"/>
    <x v="1"/>
    <x v="0"/>
    <d v="2023-12-04T00:00:00"/>
    <n v="2"/>
    <x v="0"/>
    <x v="0"/>
  </r>
  <r>
    <s v="CUST0156"/>
    <s v="Sara Morris"/>
    <x v="1"/>
    <n v="47"/>
    <x v="1"/>
    <x v="3"/>
    <x v="6"/>
    <n v="196611"/>
    <x v="0"/>
    <x v="0"/>
    <d v="2022-10-16T00:00:00"/>
    <n v="3"/>
    <x v="0"/>
    <x v="8"/>
  </r>
  <r>
    <s v="CUST0157"/>
    <s v="Samantha Conway"/>
    <x v="0"/>
    <n v="54"/>
    <x v="1"/>
    <x v="2"/>
    <x v="3"/>
    <n v="135953"/>
    <x v="1"/>
    <x v="1"/>
    <d v="2018-03-13T00:00:00"/>
    <n v="8"/>
    <x v="2"/>
    <x v="2"/>
  </r>
  <r>
    <s v="CUST0158"/>
    <s v="Michael Ward"/>
    <x v="1"/>
    <n v="40"/>
    <x v="0"/>
    <x v="0"/>
    <x v="5"/>
    <n v="158563"/>
    <x v="0"/>
    <x v="0"/>
    <d v="2025-04-27T00:00:00"/>
    <n v="0"/>
    <x v="3"/>
    <x v="7"/>
  </r>
  <r>
    <s v="CUST0159"/>
    <s v="Stacey Poole"/>
    <x v="0"/>
    <n v="27"/>
    <x v="2"/>
    <x v="2"/>
    <x v="5"/>
    <n v="143797"/>
    <x v="1"/>
    <x v="0"/>
    <d v="2018-04-10T00:00:00"/>
    <n v="8"/>
    <x v="2"/>
    <x v="2"/>
  </r>
  <r>
    <s v="CUST0160"/>
    <s v="Rachel Rivera PhD"/>
    <x v="1"/>
    <n v="71"/>
    <x v="3"/>
    <x v="0"/>
    <x v="6"/>
    <n v="83888"/>
    <x v="2"/>
    <x v="0"/>
    <d v="2015-11-06T00:00:00"/>
    <n v="10"/>
    <x v="2"/>
    <x v="10"/>
  </r>
  <r>
    <s v="CUST0161"/>
    <s v="David Sanders"/>
    <x v="0"/>
    <n v="22"/>
    <x v="2"/>
    <x v="1"/>
    <x v="0"/>
    <n v="93609"/>
    <x v="2"/>
    <x v="0"/>
    <d v="2021-02-25T00:00:00"/>
    <n v="5"/>
    <x v="1"/>
    <x v="1"/>
  </r>
  <r>
    <s v="CUST0162"/>
    <s v="Lauren Lutz"/>
    <x v="0"/>
    <n v="53"/>
    <x v="1"/>
    <x v="0"/>
    <x v="6"/>
    <n v="29077"/>
    <x v="2"/>
    <x v="1"/>
    <d v="2015-09-01T00:00:00"/>
    <n v="10"/>
    <x v="2"/>
    <x v="10"/>
  </r>
  <r>
    <s v="CUST0163"/>
    <s v="Nathan Taylor"/>
    <x v="1"/>
    <n v="51"/>
    <x v="1"/>
    <x v="2"/>
    <x v="0"/>
    <n v="40953"/>
    <x v="2"/>
    <x v="0"/>
    <d v="2022-08-16T00:00:00"/>
    <n v="3"/>
    <x v="0"/>
    <x v="8"/>
  </r>
  <r>
    <s v="CUST0164"/>
    <s v="Hannah Brown"/>
    <x v="1"/>
    <n v="69"/>
    <x v="3"/>
    <x v="1"/>
    <x v="6"/>
    <n v="134682"/>
    <x v="1"/>
    <x v="0"/>
    <d v="2021-03-02T00:00:00"/>
    <n v="5"/>
    <x v="1"/>
    <x v="1"/>
  </r>
  <r>
    <s v="CUST0165"/>
    <s v="Jeffrey Golden"/>
    <x v="1"/>
    <n v="48"/>
    <x v="1"/>
    <x v="1"/>
    <x v="3"/>
    <n v="87889"/>
    <x v="2"/>
    <x v="0"/>
    <d v="2023-09-03T00:00:00"/>
    <n v="2"/>
    <x v="0"/>
    <x v="0"/>
  </r>
  <r>
    <s v="CUST0166"/>
    <s v="Julian Thomas"/>
    <x v="0"/>
    <n v="27"/>
    <x v="2"/>
    <x v="1"/>
    <x v="4"/>
    <n v="174893"/>
    <x v="0"/>
    <x v="0"/>
    <d v="2016-03-02T00:00:00"/>
    <n v="10"/>
    <x v="2"/>
    <x v="3"/>
  </r>
  <r>
    <s v="CUST0167"/>
    <s v="Paula Brown"/>
    <x v="1"/>
    <n v="36"/>
    <x v="0"/>
    <x v="2"/>
    <x v="5"/>
    <n v="188639"/>
    <x v="0"/>
    <x v="0"/>
    <d v="2024-07-19T00:00:00"/>
    <n v="1"/>
    <x v="3"/>
    <x v="5"/>
  </r>
  <r>
    <s v="CUST0168"/>
    <s v="Whitney Hampton"/>
    <x v="0"/>
    <n v="49"/>
    <x v="1"/>
    <x v="3"/>
    <x v="6"/>
    <n v="135374"/>
    <x v="1"/>
    <x v="0"/>
    <d v="2019-11-17T00:00:00"/>
    <n v="6"/>
    <x v="1"/>
    <x v="6"/>
  </r>
  <r>
    <s v="CUST0169"/>
    <s v="Timothy Lyons"/>
    <x v="0"/>
    <n v="18"/>
    <x v="2"/>
    <x v="3"/>
    <x v="3"/>
    <n v="44860"/>
    <x v="2"/>
    <x v="0"/>
    <d v="2025-02-26T00:00:00"/>
    <n v="1"/>
    <x v="3"/>
    <x v="7"/>
  </r>
  <r>
    <s v="CUST0170"/>
    <s v="Mason Swanson"/>
    <x v="1"/>
    <n v="73"/>
    <x v="3"/>
    <x v="3"/>
    <x v="0"/>
    <n v="172267"/>
    <x v="0"/>
    <x v="1"/>
    <d v="2022-11-22T00:00:00"/>
    <n v="3"/>
    <x v="0"/>
    <x v="8"/>
  </r>
  <r>
    <s v="CUST0171"/>
    <s v="Wendy Hull"/>
    <x v="1"/>
    <n v="22"/>
    <x v="2"/>
    <x v="2"/>
    <x v="0"/>
    <n v="97475"/>
    <x v="2"/>
    <x v="0"/>
    <d v="2016-06-11T00:00:00"/>
    <n v="9"/>
    <x v="2"/>
    <x v="3"/>
  </r>
  <r>
    <s v="CUST0172"/>
    <s v="Kevin Castillo"/>
    <x v="0"/>
    <n v="62"/>
    <x v="3"/>
    <x v="1"/>
    <x v="5"/>
    <n v="107266"/>
    <x v="1"/>
    <x v="0"/>
    <d v="2020-06-06T00:00:00"/>
    <n v="5"/>
    <x v="1"/>
    <x v="9"/>
  </r>
  <r>
    <s v="CUST0173"/>
    <s v="David Wilson"/>
    <x v="0"/>
    <n v="21"/>
    <x v="2"/>
    <x v="3"/>
    <x v="1"/>
    <n v="172499"/>
    <x v="0"/>
    <x v="1"/>
    <d v="2021-11-01T00:00:00"/>
    <n v="4"/>
    <x v="1"/>
    <x v="1"/>
  </r>
  <r>
    <s v="CUST0174"/>
    <s v="Evan Holt"/>
    <x v="1"/>
    <n v="33"/>
    <x v="0"/>
    <x v="2"/>
    <x v="6"/>
    <n v="120732"/>
    <x v="1"/>
    <x v="1"/>
    <d v="2019-10-29T00:00:00"/>
    <n v="6"/>
    <x v="1"/>
    <x v="6"/>
  </r>
  <r>
    <s v="CUST0175"/>
    <s v="Nancy Hoffman"/>
    <x v="1"/>
    <n v="41"/>
    <x v="0"/>
    <x v="3"/>
    <x v="2"/>
    <n v="47083"/>
    <x v="2"/>
    <x v="0"/>
    <d v="2017-11-07T00:00:00"/>
    <n v="8"/>
    <x v="2"/>
    <x v="4"/>
  </r>
  <r>
    <s v="CUST0176"/>
    <s v="Barbara Fisher"/>
    <x v="1"/>
    <n v="33"/>
    <x v="0"/>
    <x v="0"/>
    <x v="0"/>
    <n v="77372"/>
    <x v="2"/>
    <x v="0"/>
    <d v="2015-10-15T00:00:00"/>
    <n v="10"/>
    <x v="2"/>
    <x v="10"/>
  </r>
  <r>
    <s v="CUST0177"/>
    <s v="Chad Walsh"/>
    <x v="0"/>
    <n v="72"/>
    <x v="3"/>
    <x v="3"/>
    <x v="4"/>
    <n v="143786"/>
    <x v="1"/>
    <x v="0"/>
    <d v="2024-09-03T00:00:00"/>
    <n v="1"/>
    <x v="3"/>
    <x v="5"/>
  </r>
  <r>
    <s v="CUST0178"/>
    <s v="Joseph Wiley"/>
    <x v="0"/>
    <n v="19"/>
    <x v="2"/>
    <x v="3"/>
    <x v="4"/>
    <n v="195136"/>
    <x v="0"/>
    <x v="1"/>
    <d v="2024-12-16T00:00:00"/>
    <n v="1"/>
    <x v="3"/>
    <x v="5"/>
  </r>
  <r>
    <s v="CUST0179"/>
    <s v="Deborah Fisher"/>
    <x v="0"/>
    <n v="66"/>
    <x v="3"/>
    <x v="1"/>
    <x v="0"/>
    <n v="27813"/>
    <x v="2"/>
    <x v="2"/>
    <d v="2017-03-09T00:00:00"/>
    <n v="9"/>
    <x v="2"/>
    <x v="4"/>
  </r>
  <r>
    <s v="CUST0180"/>
    <s v="Krista Williams"/>
    <x v="0"/>
    <n v="45"/>
    <x v="1"/>
    <x v="2"/>
    <x v="1"/>
    <n v="51598"/>
    <x v="2"/>
    <x v="1"/>
    <d v="2025-02-16T00:00:00"/>
    <n v="1"/>
    <x v="3"/>
    <x v="7"/>
  </r>
  <r>
    <s v="CUST0181"/>
    <s v="Terry Mercer"/>
    <x v="0"/>
    <n v="49"/>
    <x v="1"/>
    <x v="1"/>
    <x v="1"/>
    <n v="113106"/>
    <x v="1"/>
    <x v="0"/>
    <d v="2016-01-18T00:00:00"/>
    <n v="10"/>
    <x v="2"/>
    <x v="3"/>
  </r>
  <r>
    <s v="CUST0182"/>
    <s v="Katie Padilla"/>
    <x v="0"/>
    <n v="44"/>
    <x v="0"/>
    <x v="1"/>
    <x v="3"/>
    <n v="47082"/>
    <x v="2"/>
    <x v="1"/>
    <d v="2025-07-05T00:00:00"/>
    <n v="0"/>
    <x v="3"/>
    <x v="7"/>
  </r>
  <r>
    <s v="CUST0183"/>
    <s v="Victor Thomas"/>
    <x v="1"/>
    <n v="37"/>
    <x v="0"/>
    <x v="1"/>
    <x v="4"/>
    <n v="49241"/>
    <x v="2"/>
    <x v="0"/>
    <d v="2018-04-12T00:00:00"/>
    <n v="8"/>
    <x v="2"/>
    <x v="2"/>
  </r>
  <r>
    <s v="CUST0184"/>
    <s v="Christopher Willis"/>
    <x v="0"/>
    <n v="41"/>
    <x v="0"/>
    <x v="1"/>
    <x v="3"/>
    <n v="195641"/>
    <x v="0"/>
    <x v="0"/>
    <d v="2022-08-02T00:00:00"/>
    <n v="3"/>
    <x v="0"/>
    <x v="8"/>
  </r>
  <r>
    <s v="CUST0185"/>
    <s v="Laura Watkins"/>
    <x v="0"/>
    <n v="29"/>
    <x v="0"/>
    <x v="1"/>
    <x v="4"/>
    <n v="31745"/>
    <x v="2"/>
    <x v="0"/>
    <d v="2024-05-10T00:00:00"/>
    <n v="1"/>
    <x v="3"/>
    <x v="5"/>
  </r>
  <r>
    <s v="CUST0186"/>
    <s v="Eric Lopez"/>
    <x v="0"/>
    <n v="67"/>
    <x v="3"/>
    <x v="3"/>
    <x v="6"/>
    <n v="46029"/>
    <x v="2"/>
    <x v="2"/>
    <d v="2017-05-26T00:00:00"/>
    <n v="8"/>
    <x v="2"/>
    <x v="4"/>
  </r>
  <r>
    <s v="CUST0187"/>
    <s v="Jillian Rangel"/>
    <x v="1"/>
    <n v="52"/>
    <x v="1"/>
    <x v="1"/>
    <x v="6"/>
    <n v="164097"/>
    <x v="0"/>
    <x v="0"/>
    <d v="2023-06-24T00:00:00"/>
    <n v="2"/>
    <x v="0"/>
    <x v="0"/>
  </r>
  <r>
    <s v="CUST0188"/>
    <s v="Kristopher Fletcher"/>
    <x v="0"/>
    <n v="50"/>
    <x v="1"/>
    <x v="1"/>
    <x v="2"/>
    <n v="143395"/>
    <x v="1"/>
    <x v="1"/>
    <d v="2023-10-12T00:00:00"/>
    <n v="2"/>
    <x v="0"/>
    <x v="0"/>
  </r>
  <r>
    <s v="CUST0189"/>
    <s v="Ryan Doyle"/>
    <x v="0"/>
    <n v="50"/>
    <x v="1"/>
    <x v="2"/>
    <x v="6"/>
    <n v="165360"/>
    <x v="0"/>
    <x v="0"/>
    <d v="2024-08-31T00:00:00"/>
    <n v="1"/>
    <x v="3"/>
    <x v="5"/>
  </r>
  <r>
    <s v="CUST0190"/>
    <s v="Cesar Silva"/>
    <x v="1"/>
    <n v="68"/>
    <x v="3"/>
    <x v="0"/>
    <x v="2"/>
    <n v="109186"/>
    <x v="1"/>
    <x v="0"/>
    <d v="2017-09-30T00:00:00"/>
    <n v="8"/>
    <x v="2"/>
    <x v="4"/>
  </r>
  <r>
    <s v="CUST0191"/>
    <s v="Nicholas Miller"/>
    <x v="0"/>
    <n v="60"/>
    <x v="1"/>
    <x v="3"/>
    <x v="6"/>
    <n v="157612"/>
    <x v="0"/>
    <x v="0"/>
    <d v="2019-11-11T00:00:00"/>
    <n v="6"/>
    <x v="1"/>
    <x v="6"/>
  </r>
  <r>
    <s v="CUST0192"/>
    <s v="Kim Hubbard"/>
    <x v="0"/>
    <n v="54"/>
    <x v="1"/>
    <x v="3"/>
    <x v="5"/>
    <n v="117768"/>
    <x v="1"/>
    <x v="0"/>
    <d v="2025-08-22T00:00:00"/>
    <n v="0"/>
    <x v="3"/>
    <x v="7"/>
  </r>
  <r>
    <s v="CUST0193"/>
    <s v="Robert Roberts"/>
    <x v="0"/>
    <n v="29"/>
    <x v="0"/>
    <x v="3"/>
    <x v="6"/>
    <n v="61846"/>
    <x v="2"/>
    <x v="1"/>
    <d v="2020-12-04T00:00:00"/>
    <n v="5"/>
    <x v="1"/>
    <x v="9"/>
  </r>
  <r>
    <s v="CUST0194"/>
    <s v="Oscar Young"/>
    <x v="0"/>
    <n v="20"/>
    <x v="2"/>
    <x v="1"/>
    <x v="3"/>
    <n v="95932"/>
    <x v="2"/>
    <x v="0"/>
    <d v="2024-06-03T00:00:00"/>
    <n v="1"/>
    <x v="3"/>
    <x v="5"/>
  </r>
  <r>
    <s v="CUST0195"/>
    <s v="Mark Mckenzie"/>
    <x v="0"/>
    <n v="18"/>
    <x v="2"/>
    <x v="1"/>
    <x v="0"/>
    <n v="168554"/>
    <x v="0"/>
    <x v="1"/>
    <d v="2015-09-22T00:00:00"/>
    <n v="10"/>
    <x v="2"/>
    <x v="10"/>
  </r>
  <r>
    <s v="CUST0196"/>
    <s v="Victoria Montoya"/>
    <x v="1"/>
    <n v="50"/>
    <x v="1"/>
    <x v="1"/>
    <x v="3"/>
    <n v="43411"/>
    <x v="2"/>
    <x v="1"/>
    <d v="2019-05-27T00:00:00"/>
    <n v="6"/>
    <x v="1"/>
    <x v="6"/>
  </r>
  <r>
    <s v="CUST0197"/>
    <s v="Evelyn Mendoza"/>
    <x v="1"/>
    <n v="57"/>
    <x v="1"/>
    <x v="2"/>
    <x v="0"/>
    <n v="98797"/>
    <x v="2"/>
    <x v="2"/>
    <d v="2016-02-02T00:00:00"/>
    <n v="10"/>
    <x v="2"/>
    <x v="3"/>
  </r>
  <r>
    <s v="CUST0198"/>
    <s v="Sarah Santiago"/>
    <x v="1"/>
    <n v="27"/>
    <x v="2"/>
    <x v="0"/>
    <x v="1"/>
    <n v="72307"/>
    <x v="2"/>
    <x v="0"/>
    <d v="2020-04-24T00:00:00"/>
    <n v="5"/>
    <x v="1"/>
    <x v="9"/>
  </r>
  <r>
    <s v="CUST0199"/>
    <s v="Gerald Robinson"/>
    <x v="0"/>
    <n v="60"/>
    <x v="1"/>
    <x v="1"/>
    <x v="3"/>
    <n v="154165"/>
    <x v="0"/>
    <x v="0"/>
    <d v="2018-01-18T00:00:00"/>
    <n v="8"/>
    <x v="2"/>
    <x v="2"/>
  </r>
  <r>
    <s v="CUST0200"/>
    <s v="Ryan Gill"/>
    <x v="0"/>
    <n v="61"/>
    <x v="3"/>
    <x v="0"/>
    <x v="1"/>
    <n v="42042"/>
    <x v="2"/>
    <x v="0"/>
    <d v="2024-03-14T00:00:00"/>
    <n v="2"/>
    <x v="0"/>
    <x v="5"/>
  </r>
  <r>
    <s v="CUST0201"/>
    <s v="Gary Johnson"/>
    <x v="0"/>
    <n v="46"/>
    <x v="1"/>
    <x v="2"/>
    <x v="2"/>
    <n v="72930"/>
    <x v="2"/>
    <x v="2"/>
    <d v="2017-08-24T00:00:00"/>
    <n v="8"/>
    <x v="2"/>
    <x v="4"/>
  </r>
  <r>
    <s v="CUST0202"/>
    <s v="Jason Johnson"/>
    <x v="1"/>
    <n v="30"/>
    <x v="0"/>
    <x v="3"/>
    <x v="2"/>
    <n v="195485"/>
    <x v="0"/>
    <x v="2"/>
    <d v="2019-03-13T00:00:00"/>
    <n v="7"/>
    <x v="1"/>
    <x v="6"/>
  </r>
  <r>
    <s v="CUST0203"/>
    <s v="Dr. Caitlyn Durham"/>
    <x v="0"/>
    <n v="29"/>
    <x v="0"/>
    <x v="1"/>
    <x v="5"/>
    <n v="117883"/>
    <x v="1"/>
    <x v="0"/>
    <d v="2024-08-21T00:00:00"/>
    <n v="1"/>
    <x v="3"/>
    <x v="5"/>
  </r>
  <r>
    <s v="CUST0204"/>
    <s v="Robert Gonzalez"/>
    <x v="0"/>
    <n v="48"/>
    <x v="1"/>
    <x v="0"/>
    <x v="6"/>
    <n v="53756"/>
    <x v="2"/>
    <x v="1"/>
    <d v="2016-06-12T00:00:00"/>
    <n v="9"/>
    <x v="2"/>
    <x v="3"/>
  </r>
  <r>
    <s v="CUST0205"/>
    <s v="Bryan Allen"/>
    <x v="1"/>
    <n v="63"/>
    <x v="3"/>
    <x v="0"/>
    <x v="3"/>
    <n v="73268"/>
    <x v="2"/>
    <x v="0"/>
    <d v="2024-10-22T00:00:00"/>
    <n v="1"/>
    <x v="3"/>
    <x v="5"/>
  </r>
  <r>
    <s v="CUST0206"/>
    <s v="Daniel Richardson"/>
    <x v="0"/>
    <n v="19"/>
    <x v="2"/>
    <x v="1"/>
    <x v="1"/>
    <n v="190286"/>
    <x v="0"/>
    <x v="1"/>
    <d v="2020-03-28T00:00:00"/>
    <n v="6"/>
    <x v="1"/>
    <x v="9"/>
  </r>
  <r>
    <s v="CUST0207"/>
    <s v="Christopher Wise"/>
    <x v="1"/>
    <n v="68"/>
    <x v="3"/>
    <x v="3"/>
    <x v="0"/>
    <n v="179674"/>
    <x v="0"/>
    <x v="0"/>
    <d v="2018-11-27T00:00:00"/>
    <n v="7"/>
    <x v="1"/>
    <x v="2"/>
  </r>
  <r>
    <s v="CUST0208"/>
    <s v="Leslie Ashley"/>
    <x v="1"/>
    <n v="67"/>
    <x v="3"/>
    <x v="3"/>
    <x v="2"/>
    <n v="68901"/>
    <x v="2"/>
    <x v="1"/>
    <d v="2022-03-24T00:00:00"/>
    <n v="4"/>
    <x v="1"/>
    <x v="8"/>
  </r>
  <r>
    <s v="CUST0209"/>
    <s v="Lauren Davidson"/>
    <x v="1"/>
    <n v="52"/>
    <x v="1"/>
    <x v="3"/>
    <x v="6"/>
    <n v="119986"/>
    <x v="1"/>
    <x v="0"/>
    <d v="2020-04-14T00:00:00"/>
    <n v="6"/>
    <x v="1"/>
    <x v="9"/>
  </r>
  <r>
    <s v="CUST0210"/>
    <s v="Joanne Ray"/>
    <x v="0"/>
    <n v="40"/>
    <x v="0"/>
    <x v="2"/>
    <x v="2"/>
    <n v="183268"/>
    <x v="0"/>
    <x v="1"/>
    <d v="2019-10-04T00:00:00"/>
    <n v="6"/>
    <x v="1"/>
    <x v="6"/>
  </r>
  <r>
    <s v="CUST0211"/>
    <s v="Ryan Mccormick"/>
    <x v="0"/>
    <n v="34"/>
    <x v="0"/>
    <x v="0"/>
    <x v="0"/>
    <n v="148386"/>
    <x v="1"/>
    <x v="1"/>
    <d v="2020-02-20T00:00:00"/>
    <n v="6"/>
    <x v="1"/>
    <x v="9"/>
  </r>
  <r>
    <s v="CUST0212"/>
    <s v="Stephen Russell"/>
    <x v="0"/>
    <n v="43"/>
    <x v="0"/>
    <x v="0"/>
    <x v="6"/>
    <n v="25626"/>
    <x v="2"/>
    <x v="1"/>
    <d v="2019-01-12T00:00:00"/>
    <n v="7"/>
    <x v="1"/>
    <x v="6"/>
  </r>
  <r>
    <s v="CUST0213"/>
    <s v="Nathan Blackburn"/>
    <x v="0"/>
    <n v="25"/>
    <x v="2"/>
    <x v="0"/>
    <x v="6"/>
    <n v="158496"/>
    <x v="0"/>
    <x v="0"/>
    <d v="2017-08-26T00:00:00"/>
    <n v="8"/>
    <x v="2"/>
    <x v="4"/>
  </r>
  <r>
    <s v="CUST0214"/>
    <s v="Sarah Wilson"/>
    <x v="0"/>
    <n v="46"/>
    <x v="1"/>
    <x v="2"/>
    <x v="1"/>
    <n v="32857"/>
    <x v="2"/>
    <x v="0"/>
    <d v="2022-08-26T00:00:00"/>
    <n v="3"/>
    <x v="0"/>
    <x v="8"/>
  </r>
  <r>
    <s v="CUST0215"/>
    <s v="Cassandra Mcbride"/>
    <x v="0"/>
    <n v="43"/>
    <x v="0"/>
    <x v="0"/>
    <x v="1"/>
    <n v="171054"/>
    <x v="0"/>
    <x v="0"/>
    <d v="2020-02-16T00:00:00"/>
    <n v="6"/>
    <x v="1"/>
    <x v="9"/>
  </r>
  <r>
    <s v="CUST0216"/>
    <s v="Abigail Gallegos"/>
    <x v="0"/>
    <n v="27"/>
    <x v="2"/>
    <x v="2"/>
    <x v="3"/>
    <n v="153052"/>
    <x v="0"/>
    <x v="0"/>
    <d v="2015-11-03T00:00:00"/>
    <n v="10"/>
    <x v="2"/>
    <x v="10"/>
  </r>
  <r>
    <s v="CUST0217"/>
    <s v="Jeremy Brown"/>
    <x v="1"/>
    <n v="43"/>
    <x v="0"/>
    <x v="3"/>
    <x v="3"/>
    <n v="199362"/>
    <x v="0"/>
    <x v="0"/>
    <d v="2023-06-06T00:00:00"/>
    <n v="2"/>
    <x v="0"/>
    <x v="0"/>
  </r>
  <r>
    <s v="CUST0218"/>
    <s v="Samantha Castro"/>
    <x v="0"/>
    <n v="51"/>
    <x v="1"/>
    <x v="1"/>
    <x v="4"/>
    <n v="46431"/>
    <x v="2"/>
    <x v="2"/>
    <d v="2016-08-04T00:00:00"/>
    <n v="9"/>
    <x v="2"/>
    <x v="3"/>
  </r>
  <r>
    <s v="CUST0219"/>
    <s v="Nathaniel Hudson"/>
    <x v="1"/>
    <n v="68"/>
    <x v="3"/>
    <x v="0"/>
    <x v="4"/>
    <n v="104976"/>
    <x v="1"/>
    <x v="0"/>
    <d v="2019-09-11T00:00:00"/>
    <n v="6"/>
    <x v="1"/>
    <x v="6"/>
  </r>
  <r>
    <s v="CUST0220"/>
    <s v="Maria Herman"/>
    <x v="0"/>
    <n v="58"/>
    <x v="1"/>
    <x v="0"/>
    <x v="5"/>
    <n v="102711"/>
    <x v="1"/>
    <x v="0"/>
    <d v="2024-05-15T00:00:00"/>
    <n v="1"/>
    <x v="3"/>
    <x v="5"/>
  </r>
  <r>
    <s v="CUST0221"/>
    <s v="Timothy Walters"/>
    <x v="0"/>
    <n v="24"/>
    <x v="2"/>
    <x v="3"/>
    <x v="2"/>
    <n v="46385"/>
    <x v="2"/>
    <x v="0"/>
    <d v="2017-11-07T00:00:00"/>
    <n v="8"/>
    <x v="2"/>
    <x v="4"/>
  </r>
  <r>
    <s v="CUST0222"/>
    <s v="Carrie Castro"/>
    <x v="0"/>
    <n v="21"/>
    <x v="2"/>
    <x v="1"/>
    <x v="3"/>
    <n v="189230"/>
    <x v="0"/>
    <x v="0"/>
    <d v="2024-07-22T00:00:00"/>
    <n v="1"/>
    <x v="3"/>
    <x v="5"/>
  </r>
  <r>
    <s v="CUST0223"/>
    <s v="Chad White"/>
    <x v="1"/>
    <n v="70"/>
    <x v="3"/>
    <x v="2"/>
    <x v="1"/>
    <n v="174091"/>
    <x v="0"/>
    <x v="1"/>
    <d v="2016-01-09T00:00:00"/>
    <n v="10"/>
    <x v="2"/>
    <x v="3"/>
  </r>
  <r>
    <s v="CUST0224"/>
    <s v="Karen Lam"/>
    <x v="1"/>
    <n v="67"/>
    <x v="3"/>
    <x v="1"/>
    <x v="0"/>
    <n v="38639"/>
    <x v="2"/>
    <x v="0"/>
    <d v="2016-10-10T00:00:00"/>
    <n v="9"/>
    <x v="2"/>
    <x v="3"/>
  </r>
  <r>
    <s v="CUST0225"/>
    <s v="Sarah Walton"/>
    <x v="1"/>
    <n v="62"/>
    <x v="3"/>
    <x v="3"/>
    <x v="1"/>
    <n v="105530"/>
    <x v="1"/>
    <x v="2"/>
    <d v="2017-12-01T00:00:00"/>
    <n v="8"/>
    <x v="2"/>
    <x v="4"/>
  </r>
  <r>
    <s v="CUST0226"/>
    <s v="Theodore Mckinney"/>
    <x v="1"/>
    <n v="28"/>
    <x v="2"/>
    <x v="3"/>
    <x v="2"/>
    <n v="41563"/>
    <x v="2"/>
    <x v="0"/>
    <d v="2024-04-05T00:00:00"/>
    <n v="2"/>
    <x v="0"/>
    <x v="5"/>
  </r>
  <r>
    <s v="CUST0227"/>
    <s v="Sharon Chapman"/>
    <x v="0"/>
    <n v="46"/>
    <x v="1"/>
    <x v="1"/>
    <x v="4"/>
    <n v="190413"/>
    <x v="0"/>
    <x v="2"/>
    <d v="2017-05-18T00:00:00"/>
    <n v="8"/>
    <x v="2"/>
    <x v="4"/>
  </r>
  <r>
    <s v="CUST0228"/>
    <s v="Melinda Cunningham"/>
    <x v="1"/>
    <n v="73"/>
    <x v="3"/>
    <x v="2"/>
    <x v="1"/>
    <n v="135672"/>
    <x v="1"/>
    <x v="1"/>
    <d v="2019-01-14T00:00:00"/>
    <n v="7"/>
    <x v="1"/>
    <x v="6"/>
  </r>
  <r>
    <s v="CUST0229"/>
    <s v="Luke Lamb"/>
    <x v="0"/>
    <n v="53"/>
    <x v="1"/>
    <x v="2"/>
    <x v="5"/>
    <n v="156848"/>
    <x v="0"/>
    <x v="0"/>
    <d v="2022-08-13T00:00:00"/>
    <n v="3"/>
    <x v="0"/>
    <x v="8"/>
  </r>
  <r>
    <s v="CUST0230"/>
    <s v="Ryan Holt"/>
    <x v="0"/>
    <n v="42"/>
    <x v="0"/>
    <x v="0"/>
    <x v="2"/>
    <n v="187516"/>
    <x v="0"/>
    <x v="2"/>
    <d v="2018-03-25T00:00:00"/>
    <n v="8"/>
    <x v="2"/>
    <x v="2"/>
  </r>
  <r>
    <s v="CUST0231"/>
    <s v="Andrew Payne"/>
    <x v="1"/>
    <n v="38"/>
    <x v="0"/>
    <x v="2"/>
    <x v="4"/>
    <n v="159783"/>
    <x v="0"/>
    <x v="0"/>
    <d v="2023-01-11T00:00:00"/>
    <n v="3"/>
    <x v="0"/>
    <x v="0"/>
  </r>
  <r>
    <s v="CUST0232"/>
    <s v="Misty Jacobs"/>
    <x v="1"/>
    <n v="74"/>
    <x v="3"/>
    <x v="1"/>
    <x v="0"/>
    <n v="102970"/>
    <x v="1"/>
    <x v="1"/>
    <d v="2018-08-23T00:00:00"/>
    <n v="7"/>
    <x v="1"/>
    <x v="2"/>
  </r>
  <r>
    <s v="CUST0233"/>
    <s v="Kenneth Harrington"/>
    <x v="1"/>
    <n v="53"/>
    <x v="1"/>
    <x v="3"/>
    <x v="4"/>
    <n v="105553"/>
    <x v="1"/>
    <x v="0"/>
    <d v="2017-07-16T00:00:00"/>
    <n v="8"/>
    <x v="2"/>
    <x v="4"/>
  </r>
  <r>
    <s v="CUST0234"/>
    <s v="Ryan Glass"/>
    <x v="1"/>
    <n v="27"/>
    <x v="2"/>
    <x v="0"/>
    <x v="6"/>
    <n v="181779"/>
    <x v="0"/>
    <x v="1"/>
    <d v="2017-08-29T00:00:00"/>
    <n v="8"/>
    <x v="2"/>
    <x v="4"/>
  </r>
  <r>
    <s v="CUST0235"/>
    <s v="Stephanie Valdez"/>
    <x v="1"/>
    <n v="54"/>
    <x v="1"/>
    <x v="0"/>
    <x v="5"/>
    <n v="190182"/>
    <x v="0"/>
    <x v="1"/>
    <d v="2023-04-17T00:00:00"/>
    <n v="2"/>
    <x v="0"/>
    <x v="0"/>
  </r>
  <r>
    <s v="CUST0236"/>
    <s v="Patrick Ortiz"/>
    <x v="1"/>
    <n v="26"/>
    <x v="2"/>
    <x v="3"/>
    <x v="2"/>
    <n v="102879"/>
    <x v="1"/>
    <x v="1"/>
    <d v="2017-05-11T00:00:00"/>
    <n v="8"/>
    <x v="2"/>
    <x v="4"/>
  </r>
  <r>
    <s v="CUST0237"/>
    <s v="Nicholas Washington"/>
    <x v="1"/>
    <n v="41"/>
    <x v="0"/>
    <x v="2"/>
    <x v="0"/>
    <n v="189899"/>
    <x v="0"/>
    <x v="1"/>
    <d v="2024-10-14T00:00:00"/>
    <n v="1"/>
    <x v="3"/>
    <x v="5"/>
  </r>
  <r>
    <s v="CUST0238"/>
    <s v="Crystal Melton"/>
    <x v="1"/>
    <n v="52"/>
    <x v="1"/>
    <x v="3"/>
    <x v="5"/>
    <n v="156727"/>
    <x v="0"/>
    <x v="0"/>
    <d v="2020-10-04T00:00:00"/>
    <n v="5"/>
    <x v="1"/>
    <x v="9"/>
  </r>
  <r>
    <s v="CUST0239"/>
    <s v="Daniel Williams"/>
    <x v="0"/>
    <n v="66"/>
    <x v="3"/>
    <x v="2"/>
    <x v="4"/>
    <n v="64859"/>
    <x v="2"/>
    <x v="0"/>
    <d v="2024-11-05T00:00:00"/>
    <n v="1"/>
    <x v="3"/>
    <x v="5"/>
  </r>
  <r>
    <s v="CUST0240"/>
    <s v="James Park"/>
    <x v="1"/>
    <n v="52"/>
    <x v="1"/>
    <x v="3"/>
    <x v="5"/>
    <n v="72098"/>
    <x v="2"/>
    <x v="0"/>
    <d v="2021-12-14T00:00:00"/>
    <n v="4"/>
    <x v="1"/>
    <x v="1"/>
  </r>
  <r>
    <s v="CUST0241"/>
    <s v="Jeff Coleman"/>
    <x v="1"/>
    <n v="65"/>
    <x v="3"/>
    <x v="1"/>
    <x v="2"/>
    <n v="166323"/>
    <x v="0"/>
    <x v="0"/>
    <d v="2024-05-08T00:00:00"/>
    <n v="1"/>
    <x v="3"/>
    <x v="5"/>
  </r>
  <r>
    <s v="CUST0242"/>
    <s v="Dustin Young"/>
    <x v="0"/>
    <n v="53"/>
    <x v="1"/>
    <x v="2"/>
    <x v="3"/>
    <n v="142413"/>
    <x v="1"/>
    <x v="1"/>
    <d v="2022-03-02T00:00:00"/>
    <n v="4"/>
    <x v="1"/>
    <x v="8"/>
  </r>
  <r>
    <s v="CUST0243"/>
    <s v="Richard Johnson"/>
    <x v="1"/>
    <n v="35"/>
    <x v="0"/>
    <x v="1"/>
    <x v="5"/>
    <n v="20526"/>
    <x v="2"/>
    <x v="0"/>
    <d v="2019-08-11T00:00:00"/>
    <n v="6"/>
    <x v="1"/>
    <x v="6"/>
  </r>
  <r>
    <s v="CUST0244"/>
    <s v="Timothy Wolf"/>
    <x v="0"/>
    <n v="66"/>
    <x v="3"/>
    <x v="0"/>
    <x v="6"/>
    <n v="88760"/>
    <x v="2"/>
    <x v="2"/>
    <d v="2022-12-27T00:00:00"/>
    <n v="3"/>
    <x v="0"/>
    <x v="8"/>
  </r>
  <r>
    <s v="CUST0245"/>
    <s v="Kenneth Garza"/>
    <x v="0"/>
    <n v="56"/>
    <x v="1"/>
    <x v="3"/>
    <x v="5"/>
    <n v="67837"/>
    <x v="2"/>
    <x v="1"/>
    <d v="2018-10-22T00:00:00"/>
    <n v="7"/>
    <x v="1"/>
    <x v="2"/>
  </r>
  <r>
    <s v="CUST0246"/>
    <s v="Joshua Best"/>
    <x v="1"/>
    <n v="49"/>
    <x v="1"/>
    <x v="0"/>
    <x v="4"/>
    <n v="31536"/>
    <x v="2"/>
    <x v="1"/>
    <d v="2018-01-13T00:00:00"/>
    <n v="8"/>
    <x v="2"/>
    <x v="2"/>
  </r>
  <r>
    <s v="CUST0247"/>
    <s v="Charles Wilson"/>
    <x v="0"/>
    <n v="41"/>
    <x v="0"/>
    <x v="0"/>
    <x v="4"/>
    <n v="48541"/>
    <x v="2"/>
    <x v="0"/>
    <d v="2021-03-02T00:00:00"/>
    <n v="5"/>
    <x v="1"/>
    <x v="1"/>
  </r>
  <r>
    <s v="CUST0248"/>
    <s v="Andre Bridges"/>
    <x v="0"/>
    <n v="40"/>
    <x v="0"/>
    <x v="0"/>
    <x v="0"/>
    <n v="99083"/>
    <x v="2"/>
    <x v="1"/>
    <d v="2023-09-10T00:00:00"/>
    <n v="2"/>
    <x v="0"/>
    <x v="0"/>
  </r>
  <r>
    <s v="CUST0249"/>
    <s v="Dana Buchanan"/>
    <x v="0"/>
    <n v="49"/>
    <x v="1"/>
    <x v="0"/>
    <x v="4"/>
    <n v="54531"/>
    <x v="2"/>
    <x v="2"/>
    <d v="2021-01-07T00:00:00"/>
    <n v="5"/>
    <x v="1"/>
    <x v="1"/>
  </r>
  <r>
    <s v="CUST0250"/>
    <s v="James Hardy"/>
    <x v="0"/>
    <n v="54"/>
    <x v="1"/>
    <x v="3"/>
    <x v="1"/>
    <n v="28712"/>
    <x v="2"/>
    <x v="0"/>
    <d v="2018-07-13T00:00:00"/>
    <n v="7"/>
    <x v="1"/>
    <x v="2"/>
  </r>
  <r>
    <s v="CUST0251"/>
    <s v="Danny Scott"/>
    <x v="1"/>
    <n v="29"/>
    <x v="0"/>
    <x v="0"/>
    <x v="2"/>
    <n v="124101"/>
    <x v="1"/>
    <x v="1"/>
    <d v="2024-05-10T00:00:00"/>
    <n v="1"/>
    <x v="3"/>
    <x v="5"/>
  </r>
  <r>
    <s v="CUST0252"/>
    <s v="Justin Krause"/>
    <x v="0"/>
    <n v="66"/>
    <x v="3"/>
    <x v="3"/>
    <x v="2"/>
    <n v="85455"/>
    <x v="2"/>
    <x v="1"/>
    <d v="2023-06-01T00:00:00"/>
    <n v="2"/>
    <x v="0"/>
    <x v="0"/>
  </r>
  <r>
    <s v="CUST0253"/>
    <s v="Mike Walker"/>
    <x v="1"/>
    <n v="72"/>
    <x v="3"/>
    <x v="3"/>
    <x v="3"/>
    <n v="94744"/>
    <x v="2"/>
    <x v="0"/>
    <d v="2018-08-11T00:00:00"/>
    <n v="7"/>
    <x v="1"/>
    <x v="2"/>
  </r>
  <r>
    <s v="CUST0254"/>
    <s v="James Wilkinson"/>
    <x v="0"/>
    <n v="30"/>
    <x v="0"/>
    <x v="1"/>
    <x v="3"/>
    <n v="149749"/>
    <x v="1"/>
    <x v="0"/>
    <d v="2017-07-14T00:00:00"/>
    <n v="8"/>
    <x v="2"/>
    <x v="4"/>
  </r>
  <r>
    <s v="CUST0255"/>
    <s v="Nathaniel Wolf"/>
    <x v="0"/>
    <n v="40"/>
    <x v="0"/>
    <x v="2"/>
    <x v="2"/>
    <n v="25109"/>
    <x v="2"/>
    <x v="0"/>
    <d v="2016-10-30T00:00:00"/>
    <n v="9"/>
    <x v="2"/>
    <x v="3"/>
  </r>
  <r>
    <s v="CUST0256"/>
    <s v="Robert Cooper"/>
    <x v="0"/>
    <n v="42"/>
    <x v="0"/>
    <x v="2"/>
    <x v="6"/>
    <n v="69268"/>
    <x v="2"/>
    <x v="0"/>
    <d v="2020-09-07T00:00:00"/>
    <n v="5"/>
    <x v="1"/>
    <x v="9"/>
  </r>
  <r>
    <s v="CUST0257"/>
    <s v="Lisa Stevens"/>
    <x v="0"/>
    <n v="52"/>
    <x v="1"/>
    <x v="3"/>
    <x v="3"/>
    <n v="74615"/>
    <x v="2"/>
    <x v="0"/>
    <d v="2017-08-06T00:00:00"/>
    <n v="8"/>
    <x v="2"/>
    <x v="4"/>
  </r>
  <r>
    <s v="CUST0258"/>
    <s v="Susan Thompson"/>
    <x v="1"/>
    <n v="58"/>
    <x v="1"/>
    <x v="1"/>
    <x v="0"/>
    <n v="102503"/>
    <x v="1"/>
    <x v="0"/>
    <d v="2025-06-11T00:00:00"/>
    <n v="0"/>
    <x v="3"/>
    <x v="7"/>
  </r>
  <r>
    <s v="CUST0259"/>
    <s v="Jennifer Bell"/>
    <x v="1"/>
    <n v="47"/>
    <x v="1"/>
    <x v="3"/>
    <x v="4"/>
    <n v="180831"/>
    <x v="0"/>
    <x v="0"/>
    <d v="2020-10-11T00:00:00"/>
    <n v="5"/>
    <x v="1"/>
    <x v="9"/>
  </r>
  <r>
    <s v="CUST0260"/>
    <s v="Nicholas Stone"/>
    <x v="0"/>
    <n v="34"/>
    <x v="0"/>
    <x v="3"/>
    <x v="2"/>
    <n v="105708"/>
    <x v="1"/>
    <x v="0"/>
    <d v="2022-01-27T00:00:00"/>
    <n v="4"/>
    <x v="1"/>
    <x v="8"/>
  </r>
  <r>
    <s v="CUST0261"/>
    <s v="John Craig"/>
    <x v="0"/>
    <n v="66"/>
    <x v="3"/>
    <x v="3"/>
    <x v="3"/>
    <n v="122471"/>
    <x v="1"/>
    <x v="2"/>
    <d v="2019-10-06T00:00:00"/>
    <n v="6"/>
    <x v="1"/>
    <x v="6"/>
  </r>
  <r>
    <s v="CUST0262"/>
    <s v="Joy Lopez"/>
    <x v="1"/>
    <n v="37"/>
    <x v="0"/>
    <x v="1"/>
    <x v="2"/>
    <n v="177661"/>
    <x v="0"/>
    <x v="0"/>
    <d v="2024-08-12T00:00:00"/>
    <n v="1"/>
    <x v="3"/>
    <x v="5"/>
  </r>
  <r>
    <s v="CUST0263"/>
    <s v="Kristi Adams"/>
    <x v="0"/>
    <n v="65"/>
    <x v="3"/>
    <x v="2"/>
    <x v="1"/>
    <n v="181087"/>
    <x v="0"/>
    <x v="2"/>
    <d v="2019-12-30T00:00:00"/>
    <n v="6"/>
    <x v="1"/>
    <x v="6"/>
  </r>
  <r>
    <s v="CUST0264"/>
    <s v="Kevin Tapia"/>
    <x v="0"/>
    <n v="42"/>
    <x v="0"/>
    <x v="1"/>
    <x v="5"/>
    <n v="180081"/>
    <x v="0"/>
    <x v="0"/>
    <d v="2015-10-20T00:00:00"/>
    <n v="10"/>
    <x v="2"/>
    <x v="10"/>
  </r>
  <r>
    <s v="CUST0265"/>
    <s v="Carlos Wood"/>
    <x v="0"/>
    <n v="39"/>
    <x v="0"/>
    <x v="0"/>
    <x v="4"/>
    <n v="103309"/>
    <x v="1"/>
    <x v="0"/>
    <d v="2020-09-28T00:00:00"/>
    <n v="5"/>
    <x v="1"/>
    <x v="9"/>
  </r>
  <r>
    <s v="CUST0266"/>
    <s v="Maria Everett"/>
    <x v="1"/>
    <n v="30"/>
    <x v="0"/>
    <x v="1"/>
    <x v="2"/>
    <n v="146446"/>
    <x v="1"/>
    <x v="0"/>
    <d v="2017-02-04T00:00:00"/>
    <n v="9"/>
    <x v="2"/>
    <x v="4"/>
  </r>
  <r>
    <s v="CUST0267"/>
    <s v="Nicholas Cherry"/>
    <x v="1"/>
    <n v="36"/>
    <x v="0"/>
    <x v="1"/>
    <x v="5"/>
    <n v="126661"/>
    <x v="1"/>
    <x v="0"/>
    <d v="2021-08-29T00:00:00"/>
    <n v="4"/>
    <x v="1"/>
    <x v="1"/>
  </r>
  <r>
    <s v="CUST0268"/>
    <s v="Derek Gardner"/>
    <x v="1"/>
    <n v="66"/>
    <x v="3"/>
    <x v="1"/>
    <x v="3"/>
    <n v="177215"/>
    <x v="0"/>
    <x v="0"/>
    <d v="2019-12-20T00:00:00"/>
    <n v="6"/>
    <x v="1"/>
    <x v="6"/>
  </r>
  <r>
    <s v="CUST0269"/>
    <s v="Ashley Harper"/>
    <x v="0"/>
    <n v="53"/>
    <x v="1"/>
    <x v="1"/>
    <x v="5"/>
    <n v="26154"/>
    <x v="2"/>
    <x v="1"/>
    <d v="2018-02-19T00:00:00"/>
    <n v="8"/>
    <x v="2"/>
    <x v="2"/>
  </r>
  <r>
    <s v="CUST0270"/>
    <s v="Sarah Taylor"/>
    <x v="0"/>
    <n v="29"/>
    <x v="0"/>
    <x v="2"/>
    <x v="4"/>
    <n v="172876"/>
    <x v="0"/>
    <x v="0"/>
    <d v="2017-01-02T00:00:00"/>
    <n v="9"/>
    <x v="2"/>
    <x v="4"/>
  </r>
  <r>
    <s v="CUST0271"/>
    <s v="Keith Hendrix"/>
    <x v="1"/>
    <n v="58"/>
    <x v="1"/>
    <x v="0"/>
    <x v="2"/>
    <n v="192760"/>
    <x v="0"/>
    <x v="1"/>
    <d v="2023-05-05T00:00:00"/>
    <n v="2"/>
    <x v="0"/>
    <x v="0"/>
  </r>
  <r>
    <s v="CUST0272"/>
    <s v="Seth Fritz"/>
    <x v="1"/>
    <n v="36"/>
    <x v="0"/>
    <x v="2"/>
    <x v="1"/>
    <n v="84288"/>
    <x v="2"/>
    <x v="1"/>
    <d v="2020-02-29T00:00:00"/>
    <n v="6"/>
    <x v="1"/>
    <x v="9"/>
  </r>
  <r>
    <s v="CUST0273"/>
    <s v="Thomas Luna"/>
    <x v="1"/>
    <n v="29"/>
    <x v="0"/>
    <x v="2"/>
    <x v="6"/>
    <n v="71195"/>
    <x v="2"/>
    <x v="0"/>
    <d v="2020-06-26T00:00:00"/>
    <n v="5"/>
    <x v="1"/>
    <x v="9"/>
  </r>
  <r>
    <s v="CUST0274"/>
    <s v="Megan Allen"/>
    <x v="1"/>
    <n v="26"/>
    <x v="2"/>
    <x v="1"/>
    <x v="3"/>
    <n v="40581"/>
    <x v="2"/>
    <x v="0"/>
    <d v="2024-09-24T00:00:00"/>
    <n v="1"/>
    <x v="3"/>
    <x v="5"/>
  </r>
  <r>
    <s v="CUST0275"/>
    <s v="Todd Moore"/>
    <x v="0"/>
    <n v="24"/>
    <x v="2"/>
    <x v="3"/>
    <x v="2"/>
    <n v="50087"/>
    <x v="2"/>
    <x v="1"/>
    <d v="2019-11-06T00:00:00"/>
    <n v="6"/>
    <x v="1"/>
    <x v="6"/>
  </r>
  <r>
    <s v="CUST0276"/>
    <s v="Rebecca Bailey"/>
    <x v="1"/>
    <n v="45"/>
    <x v="1"/>
    <x v="3"/>
    <x v="4"/>
    <n v="184053"/>
    <x v="0"/>
    <x v="0"/>
    <d v="2020-10-18T00:00:00"/>
    <n v="5"/>
    <x v="1"/>
    <x v="9"/>
  </r>
  <r>
    <s v="CUST0277"/>
    <s v="Brandon Bennett"/>
    <x v="0"/>
    <n v="31"/>
    <x v="0"/>
    <x v="2"/>
    <x v="3"/>
    <n v="89298"/>
    <x v="2"/>
    <x v="0"/>
    <d v="2017-12-14T00:00:00"/>
    <n v="8"/>
    <x v="2"/>
    <x v="4"/>
  </r>
  <r>
    <s v="CUST0278"/>
    <s v="Stacy Burns"/>
    <x v="1"/>
    <n v="48"/>
    <x v="1"/>
    <x v="2"/>
    <x v="0"/>
    <n v="66167"/>
    <x v="2"/>
    <x v="2"/>
    <d v="2019-02-01T00:00:00"/>
    <n v="7"/>
    <x v="1"/>
    <x v="6"/>
  </r>
  <r>
    <s v="CUST0279"/>
    <s v="Vanessa Martinez"/>
    <x v="0"/>
    <n v="69"/>
    <x v="3"/>
    <x v="1"/>
    <x v="5"/>
    <n v="194480"/>
    <x v="0"/>
    <x v="0"/>
    <d v="2018-08-04T00:00:00"/>
    <n v="7"/>
    <x v="1"/>
    <x v="2"/>
  </r>
  <r>
    <s v="CUST0280"/>
    <s v="Kristy Washington"/>
    <x v="1"/>
    <n v="36"/>
    <x v="0"/>
    <x v="2"/>
    <x v="6"/>
    <n v="59499"/>
    <x v="2"/>
    <x v="1"/>
    <d v="2017-05-27T00:00:00"/>
    <n v="8"/>
    <x v="2"/>
    <x v="4"/>
  </r>
  <r>
    <s v="CUST0281"/>
    <s v="Dustin Zhang"/>
    <x v="1"/>
    <n v="64"/>
    <x v="3"/>
    <x v="1"/>
    <x v="4"/>
    <n v="145816"/>
    <x v="1"/>
    <x v="2"/>
    <d v="2021-10-31T00:00:00"/>
    <n v="4"/>
    <x v="1"/>
    <x v="1"/>
  </r>
  <r>
    <s v="CUST0282"/>
    <s v="Monique Griffin"/>
    <x v="1"/>
    <n v="33"/>
    <x v="0"/>
    <x v="3"/>
    <x v="0"/>
    <n v="189631"/>
    <x v="0"/>
    <x v="0"/>
    <d v="2017-05-25T00:00:00"/>
    <n v="8"/>
    <x v="2"/>
    <x v="4"/>
  </r>
  <r>
    <s v="CUST0283"/>
    <s v="Kristen Spencer"/>
    <x v="1"/>
    <n v="70"/>
    <x v="3"/>
    <x v="3"/>
    <x v="2"/>
    <n v="116347"/>
    <x v="1"/>
    <x v="0"/>
    <d v="2017-01-19T00:00:00"/>
    <n v="9"/>
    <x v="2"/>
    <x v="4"/>
  </r>
  <r>
    <s v="CUST0284"/>
    <s v="Robert Clay"/>
    <x v="0"/>
    <n v="22"/>
    <x v="2"/>
    <x v="0"/>
    <x v="1"/>
    <n v="68787"/>
    <x v="2"/>
    <x v="0"/>
    <d v="2015-10-28T00:00:00"/>
    <n v="10"/>
    <x v="2"/>
    <x v="10"/>
  </r>
  <r>
    <s v="CUST0285"/>
    <s v="Kristen Nguyen"/>
    <x v="1"/>
    <n v="52"/>
    <x v="1"/>
    <x v="3"/>
    <x v="3"/>
    <n v="55488"/>
    <x v="2"/>
    <x v="0"/>
    <d v="2021-02-22T00:00:00"/>
    <n v="5"/>
    <x v="1"/>
    <x v="1"/>
  </r>
  <r>
    <s v="CUST0286"/>
    <s v="Melanie Butler"/>
    <x v="0"/>
    <n v="29"/>
    <x v="0"/>
    <x v="2"/>
    <x v="5"/>
    <n v="94441"/>
    <x v="2"/>
    <x v="0"/>
    <d v="2020-01-26T00:00:00"/>
    <n v="6"/>
    <x v="1"/>
    <x v="9"/>
  </r>
  <r>
    <s v="CUST0287"/>
    <s v="Tanner Davidson"/>
    <x v="0"/>
    <n v="42"/>
    <x v="0"/>
    <x v="3"/>
    <x v="3"/>
    <n v="42431"/>
    <x v="2"/>
    <x v="1"/>
    <d v="2025-04-22T00:00:00"/>
    <n v="0"/>
    <x v="3"/>
    <x v="7"/>
  </r>
  <r>
    <s v="CUST0288"/>
    <s v="Richard Mcdonald"/>
    <x v="0"/>
    <n v="69"/>
    <x v="3"/>
    <x v="1"/>
    <x v="6"/>
    <n v="81681"/>
    <x v="2"/>
    <x v="0"/>
    <d v="2022-10-22T00:00:00"/>
    <n v="3"/>
    <x v="0"/>
    <x v="8"/>
  </r>
  <r>
    <s v="CUST0289"/>
    <s v="Kelly Dennis"/>
    <x v="0"/>
    <n v="38"/>
    <x v="0"/>
    <x v="3"/>
    <x v="2"/>
    <n v="142720"/>
    <x v="1"/>
    <x v="0"/>
    <d v="2021-03-10T00:00:00"/>
    <n v="5"/>
    <x v="1"/>
    <x v="1"/>
  </r>
  <r>
    <s v="CUST0290"/>
    <s v="Kimberly Anderson"/>
    <x v="1"/>
    <n v="53"/>
    <x v="1"/>
    <x v="0"/>
    <x v="3"/>
    <n v="69153"/>
    <x v="2"/>
    <x v="2"/>
    <d v="2016-09-04T00:00:00"/>
    <n v="9"/>
    <x v="2"/>
    <x v="3"/>
  </r>
  <r>
    <s v="CUST0291"/>
    <s v="Sherry Watson"/>
    <x v="0"/>
    <n v="70"/>
    <x v="3"/>
    <x v="3"/>
    <x v="5"/>
    <n v="26368"/>
    <x v="2"/>
    <x v="1"/>
    <d v="2019-02-03T00:00:00"/>
    <n v="7"/>
    <x v="1"/>
    <x v="6"/>
  </r>
  <r>
    <s v="CUST0292"/>
    <s v="Tony Dunn"/>
    <x v="0"/>
    <n v="40"/>
    <x v="0"/>
    <x v="1"/>
    <x v="2"/>
    <n v="178496"/>
    <x v="0"/>
    <x v="1"/>
    <d v="2022-11-28T00:00:00"/>
    <n v="3"/>
    <x v="0"/>
    <x v="8"/>
  </r>
  <r>
    <s v="CUST0293"/>
    <s v="Adam Welch"/>
    <x v="0"/>
    <n v="33"/>
    <x v="0"/>
    <x v="1"/>
    <x v="3"/>
    <n v="132360"/>
    <x v="1"/>
    <x v="0"/>
    <d v="2016-10-31T00:00:00"/>
    <n v="9"/>
    <x v="2"/>
    <x v="3"/>
  </r>
  <r>
    <s v="CUST0294"/>
    <s v="Vicki Andersen"/>
    <x v="1"/>
    <n v="74"/>
    <x v="3"/>
    <x v="2"/>
    <x v="1"/>
    <n v="196076"/>
    <x v="0"/>
    <x v="1"/>
    <d v="2018-08-23T00:00:00"/>
    <n v="7"/>
    <x v="1"/>
    <x v="2"/>
  </r>
  <r>
    <s v="CUST0295"/>
    <s v="Donna Clark"/>
    <x v="1"/>
    <n v="56"/>
    <x v="1"/>
    <x v="3"/>
    <x v="4"/>
    <n v="132755"/>
    <x v="1"/>
    <x v="0"/>
    <d v="2016-05-20T00:00:00"/>
    <n v="9"/>
    <x v="2"/>
    <x v="3"/>
  </r>
  <r>
    <s v="CUST0296"/>
    <s v="Ronald Meyer"/>
    <x v="1"/>
    <n v="62"/>
    <x v="3"/>
    <x v="1"/>
    <x v="2"/>
    <n v="76985"/>
    <x v="2"/>
    <x v="0"/>
    <d v="2022-03-26T00:00:00"/>
    <n v="4"/>
    <x v="1"/>
    <x v="8"/>
  </r>
  <r>
    <s v="CUST0297"/>
    <s v="Jeffery James"/>
    <x v="1"/>
    <n v="70"/>
    <x v="3"/>
    <x v="0"/>
    <x v="4"/>
    <n v="70069"/>
    <x v="2"/>
    <x v="0"/>
    <d v="2022-10-28T00:00:00"/>
    <n v="3"/>
    <x v="0"/>
    <x v="8"/>
  </r>
  <r>
    <s v="CUST0298"/>
    <s v="Heather Rodriguez"/>
    <x v="0"/>
    <n v="59"/>
    <x v="1"/>
    <x v="2"/>
    <x v="2"/>
    <n v="72326"/>
    <x v="2"/>
    <x v="1"/>
    <d v="2017-07-06T00:00:00"/>
    <n v="8"/>
    <x v="2"/>
    <x v="4"/>
  </r>
  <r>
    <s v="CUST0299"/>
    <s v="Luis Werner"/>
    <x v="0"/>
    <n v="56"/>
    <x v="1"/>
    <x v="0"/>
    <x v="1"/>
    <n v="128737"/>
    <x v="1"/>
    <x v="0"/>
    <d v="2023-10-01T00:00:00"/>
    <n v="2"/>
    <x v="0"/>
    <x v="0"/>
  </r>
  <r>
    <s v="CUST0300"/>
    <s v="Stephanie Khan"/>
    <x v="1"/>
    <n v="31"/>
    <x v="0"/>
    <x v="3"/>
    <x v="4"/>
    <n v="174470"/>
    <x v="0"/>
    <x v="0"/>
    <d v="2024-04-20T00:00:00"/>
    <n v="1"/>
    <x v="3"/>
    <x v="5"/>
  </r>
  <r>
    <s v="CUST0301"/>
    <s v="Regina Schultz"/>
    <x v="0"/>
    <n v="48"/>
    <x v="1"/>
    <x v="3"/>
    <x v="0"/>
    <n v="70861"/>
    <x v="2"/>
    <x v="0"/>
    <d v="2024-02-12T00:00:00"/>
    <n v="2"/>
    <x v="0"/>
    <x v="5"/>
  </r>
  <r>
    <s v="CUST0302"/>
    <s v="Austin James"/>
    <x v="0"/>
    <n v="22"/>
    <x v="2"/>
    <x v="3"/>
    <x v="5"/>
    <n v="95897"/>
    <x v="2"/>
    <x v="0"/>
    <d v="2021-10-04T00:00:00"/>
    <n v="4"/>
    <x v="1"/>
    <x v="1"/>
  </r>
  <r>
    <s v="CUST0303"/>
    <s v="Steven Black"/>
    <x v="0"/>
    <n v="52"/>
    <x v="1"/>
    <x v="2"/>
    <x v="0"/>
    <n v="147118"/>
    <x v="1"/>
    <x v="1"/>
    <d v="2023-01-31T00:00:00"/>
    <n v="3"/>
    <x v="0"/>
    <x v="0"/>
  </r>
  <r>
    <s v="CUST0304"/>
    <s v="Linda Hansen"/>
    <x v="1"/>
    <n v="40"/>
    <x v="0"/>
    <x v="1"/>
    <x v="3"/>
    <n v="88577"/>
    <x v="2"/>
    <x v="1"/>
    <d v="2018-05-31T00:00:00"/>
    <n v="7"/>
    <x v="1"/>
    <x v="2"/>
  </r>
  <r>
    <s v="CUST0305"/>
    <s v="Erica Perez"/>
    <x v="1"/>
    <n v="46"/>
    <x v="1"/>
    <x v="2"/>
    <x v="1"/>
    <n v="29078"/>
    <x v="2"/>
    <x v="1"/>
    <d v="2017-11-02T00:00:00"/>
    <n v="8"/>
    <x v="2"/>
    <x v="4"/>
  </r>
  <r>
    <s v="CUST0306"/>
    <s v="Marco Hartman"/>
    <x v="0"/>
    <n v="60"/>
    <x v="1"/>
    <x v="0"/>
    <x v="0"/>
    <n v="176075"/>
    <x v="0"/>
    <x v="0"/>
    <d v="2018-06-10T00:00:00"/>
    <n v="7"/>
    <x v="1"/>
    <x v="2"/>
  </r>
  <r>
    <s v="CUST0307"/>
    <s v="Angela Garcia"/>
    <x v="1"/>
    <n v="28"/>
    <x v="2"/>
    <x v="2"/>
    <x v="2"/>
    <n v="82768"/>
    <x v="2"/>
    <x v="0"/>
    <d v="2015-10-16T00:00:00"/>
    <n v="10"/>
    <x v="2"/>
    <x v="10"/>
  </r>
  <r>
    <s v="CUST0308"/>
    <s v="Daniel Miller"/>
    <x v="1"/>
    <n v="35"/>
    <x v="0"/>
    <x v="0"/>
    <x v="3"/>
    <n v="71047"/>
    <x v="2"/>
    <x v="0"/>
    <d v="2015-08-23T00:00:00"/>
    <n v="10"/>
    <x v="2"/>
    <x v="10"/>
  </r>
  <r>
    <s v="CUST0309"/>
    <s v="Jeanne Marquez"/>
    <x v="1"/>
    <n v="64"/>
    <x v="3"/>
    <x v="2"/>
    <x v="3"/>
    <n v="91626"/>
    <x v="2"/>
    <x v="0"/>
    <d v="2016-05-16T00:00:00"/>
    <n v="9"/>
    <x v="2"/>
    <x v="3"/>
  </r>
  <r>
    <s v="CUST0310"/>
    <s v="Joshua Morales"/>
    <x v="1"/>
    <n v="29"/>
    <x v="0"/>
    <x v="1"/>
    <x v="0"/>
    <n v="77660"/>
    <x v="2"/>
    <x v="0"/>
    <d v="2016-12-16T00:00:00"/>
    <n v="9"/>
    <x v="2"/>
    <x v="3"/>
  </r>
  <r>
    <s v="CUST0311"/>
    <s v="Dr. Jeremy Miller"/>
    <x v="1"/>
    <n v="26"/>
    <x v="2"/>
    <x v="0"/>
    <x v="0"/>
    <n v="152997"/>
    <x v="0"/>
    <x v="1"/>
    <d v="2017-05-06T00:00:00"/>
    <n v="8"/>
    <x v="2"/>
    <x v="4"/>
  </r>
  <r>
    <s v="CUST0312"/>
    <s v="Jennifer Foster"/>
    <x v="0"/>
    <n v="27"/>
    <x v="2"/>
    <x v="3"/>
    <x v="1"/>
    <n v="137832"/>
    <x v="1"/>
    <x v="0"/>
    <d v="2019-10-29T00:00:00"/>
    <n v="6"/>
    <x v="1"/>
    <x v="6"/>
  </r>
  <r>
    <s v="CUST0313"/>
    <s v="Amy Thornton"/>
    <x v="1"/>
    <n v="61"/>
    <x v="3"/>
    <x v="3"/>
    <x v="5"/>
    <n v="150406"/>
    <x v="0"/>
    <x v="0"/>
    <d v="2019-04-11T00:00:00"/>
    <n v="7"/>
    <x v="1"/>
    <x v="6"/>
  </r>
  <r>
    <s v="CUST0314"/>
    <s v="Kenneth Vasquez"/>
    <x v="0"/>
    <n v="34"/>
    <x v="0"/>
    <x v="2"/>
    <x v="0"/>
    <n v="145150"/>
    <x v="1"/>
    <x v="0"/>
    <d v="2022-06-02T00:00:00"/>
    <n v="3"/>
    <x v="0"/>
    <x v="8"/>
  </r>
  <r>
    <s v="CUST0315"/>
    <s v="Audrey Ward"/>
    <x v="0"/>
    <n v="55"/>
    <x v="1"/>
    <x v="3"/>
    <x v="6"/>
    <n v="177087"/>
    <x v="0"/>
    <x v="0"/>
    <d v="2025-05-17T00:00:00"/>
    <n v="0"/>
    <x v="3"/>
    <x v="7"/>
  </r>
  <r>
    <s v="CUST0316"/>
    <s v="Heather Carter"/>
    <x v="1"/>
    <n v="24"/>
    <x v="2"/>
    <x v="0"/>
    <x v="0"/>
    <n v="53320"/>
    <x v="2"/>
    <x v="0"/>
    <d v="2023-05-12T00:00:00"/>
    <n v="2"/>
    <x v="0"/>
    <x v="0"/>
  </r>
  <r>
    <s v="CUST0317"/>
    <s v="Robert Hill"/>
    <x v="0"/>
    <n v="63"/>
    <x v="3"/>
    <x v="3"/>
    <x v="4"/>
    <n v="84881"/>
    <x v="2"/>
    <x v="2"/>
    <d v="2022-03-30T00:00:00"/>
    <n v="4"/>
    <x v="1"/>
    <x v="8"/>
  </r>
  <r>
    <s v="CUST0318"/>
    <s v="Jay Gray"/>
    <x v="0"/>
    <n v="30"/>
    <x v="0"/>
    <x v="1"/>
    <x v="2"/>
    <n v="110827"/>
    <x v="1"/>
    <x v="1"/>
    <d v="2016-01-12T00:00:00"/>
    <n v="10"/>
    <x v="2"/>
    <x v="3"/>
  </r>
  <r>
    <s v="CUST0319"/>
    <s v="Reginald Tapia"/>
    <x v="0"/>
    <n v="57"/>
    <x v="1"/>
    <x v="1"/>
    <x v="6"/>
    <n v="122215"/>
    <x v="1"/>
    <x v="2"/>
    <d v="2019-06-21T00:00:00"/>
    <n v="6"/>
    <x v="1"/>
    <x v="6"/>
  </r>
  <r>
    <s v="CUST0320"/>
    <s v="Erica Collins"/>
    <x v="1"/>
    <n v="59"/>
    <x v="1"/>
    <x v="2"/>
    <x v="6"/>
    <n v="177361"/>
    <x v="0"/>
    <x v="0"/>
    <d v="2023-09-16T00:00:00"/>
    <n v="2"/>
    <x v="0"/>
    <x v="0"/>
  </r>
  <r>
    <s v="CUST0321"/>
    <s v="Joseph Hunter"/>
    <x v="1"/>
    <n v="26"/>
    <x v="2"/>
    <x v="0"/>
    <x v="4"/>
    <n v="154461"/>
    <x v="0"/>
    <x v="0"/>
    <d v="2022-12-05T00:00:00"/>
    <n v="3"/>
    <x v="0"/>
    <x v="8"/>
  </r>
  <r>
    <s v="CUST0322"/>
    <s v="Lisa Hartman"/>
    <x v="0"/>
    <n v="67"/>
    <x v="3"/>
    <x v="1"/>
    <x v="4"/>
    <n v="176755"/>
    <x v="0"/>
    <x v="0"/>
    <d v="2019-05-28T00:00:00"/>
    <n v="6"/>
    <x v="1"/>
    <x v="6"/>
  </r>
  <r>
    <s v="CUST0323"/>
    <s v="James Hernandez"/>
    <x v="1"/>
    <n v="44"/>
    <x v="0"/>
    <x v="1"/>
    <x v="3"/>
    <n v="164701"/>
    <x v="0"/>
    <x v="0"/>
    <d v="2018-09-22T00:00:00"/>
    <n v="7"/>
    <x v="1"/>
    <x v="2"/>
  </r>
  <r>
    <s v="CUST0324"/>
    <s v="Erin Nelson"/>
    <x v="1"/>
    <n v="19"/>
    <x v="2"/>
    <x v="0"/>
    <x v="5"/>
    <n v="81550"/>
    <x v="2"/>
    <x v="1"/>
    <d v="2017-03-23T00:00:00"/>
    <n v="9"/>
    <x v="2"/>
    <x v="4"/>
  </r>
  <r>
    <s v="CUST0325"/>
    <s v="Gregg Harris"/>
    <x v="1"/>
    <n v="22"/>
    <x v="2"/>
    <x v="3"/>
    <x v="2"/>
    <n v="44826"/>
    <x v="2"/>
    <x v="0"/>
    <d v="2022-03-20T00:00:00"/>
    <n v="4"/>
    <x v="1"/>
    <x v="8"/>
  </r>
  <r>
    <s v="CUST0326"/>
    <s v="William Singleton"/>
    <x v="1"/>
    <n v="46"/>
    <x v="1"/>
    <x v="3"/>
    <x v="1"/>
    <n v="120734"/>
    <x v="1"/>
    <x v="0"/>
    <d v="2020-01-17T00:00:00"/>
    <n v="6"/>
    <x v="1"/>
    <x v="9"/>
  </r>
  <r>
    <s v="CUST0327"/>
    <s v="Raymond Smith"/>
    <x v="0"/>
    <n v="54"/>
    <x v="1"/>
    <x v="2"/>
    <x v="6"/>
    <n v="177702"/>
    <x v="0"/>
    <x v="0"/>
    <d v="2023-07-20T00:00:00"/>
    <n v="2"/>
    <x v="0"/>
    <x v="0"/>
  </r>
  <r>
    <s v="CUST0328"/>
    <s v="Brenda Brown"/>
    <x v="0"/>
    <n v="55"/>
    <x v="1"/>
    <x v="3"/>
    <x v="1"/>
    <n v="197235"/>
    <x v="0"/>
    <x v="0"/>
    <d v="2021-09-22T00:00:00"/>
    <n v="4"/>
    <x v="1"/>
    <x v="1"/>
  </r>
  <r>
    <s v="CUST0329"/>
    <s v="Philip Brown"/>
    <x v="1"/>
    <n v="36"/>
    <x v="0"/>
    <x v="0"/>
    <x v="0"/>
    <n v="118511"/>
    <x v="1"/>
    <x v="1"/>
    <d v="2022-08-18T00:00:00"/>
    <n v="3"/>
    <x v="0"/>
    <x v="8"/>
  </r>
  <r>
    <s v="CUST0330"/>
    <s v="Jeremy Boyer"/>
    <x v="1"/>
    <n v="25"/>
    <x v="2"/>
    <x v="1"/>
    <x v="0"/>
    <n v="31653"/>
    <x v="2"/>
    <x v="0"/>
    <d v="2017-04-05T00:00:00"/>
    <n v="9"/>
    <x v="2"/>
    <x v="4"/>
  </r>
  <r>
    <s v="CUST0331"/>
    <s v="Theresa Burke"/>
    <x v="0"/>
    <n v="65"/>
    <x v="3"/>
    <x v="3"/>
    <x v="1"/>
    <n v="179033"/>
    <x v="0"/>
    <x v="0"/>
    <d v="2019-11-07T00:00:00"/>
    <n v="6"/>
    <x v="1"/>
    <x v="6"/>
  </r>
  <r>
    <s v="CUST0332"/>
    <s v="Amber Myers"/>
    <x v="0"/>
    <n v="62"/>
    <x v="3"/>
    <x v="2"/>
    <x v="0"/>
    <n v="101941"/>
    <x v="1"/>
    <x v="0"/>
    <d v="2021-09-09T00:00:00"/>
    <n v="4"/>
    <x v="1"/>
    <x v="1"/>
  </r>
  <r>
    <s v="CUST0333"/>
    <s v="Ronald Bennett"/>
    <x v="1"/>
    <n v="18"/>
    <x v="2"/>
    <x v="3"/>
    <x v="5"/>
    <n v="53662"/>
    <x v="2"/>
    <x v="0"/>
    <d v="2015-12-09T00:00:00"/>
    <n v="10"/>
    <x v="2"/>
    <x v="10"/>
  </r>
  <r>
    <s v="CUST0334"/>
    <s v="Beth Mccoy"/>
    <x v="0"/>
    <n v="39"/>
    <x v="0"/>
    <x v="0"/>
    <x v="4"/>
    <n v="118818"/>
    <x v="1"/>
    <x v="1"/>
    <d v="2019-01-29T00:00:00"/>
    <n v="7"/>
    <x v="1"/>
    <x v="6"/>
  </r>
  <r>
    <s v="CUST0335"/>
    <s v="George Ramos"/>
    <x v="1"/>
    <n v="69"/>
    <x v="3"/>
    <x v="2"/>
    <x v="0"/>
    <n v="172360"/>
    <x v="0"/>
    <x v="1"/>
    <d v="2022-01-12T00:00:00"/>
    <n v="4"/>
    <x v="1"/>
    <x v="8"/>
  </r>
  <r>
    <s v="CUST0336"/>
    <s v="Kimberly Estes"/>
    <x v="1"/>
    <n v="34"/>
    <x v="0"/>
    <x v="3"/>
    <x v="3"/>
    <n v="115081"/>
    <x v="1"/>
    <x v="2"/>
    <d v="2017-03-23T00:00:00"/>
    <n v="9"/>
    <x v="2"/>
    <x v="4"/>
  </r>
  <r>
    <s v="CUST0337"/>
    <s v="Debbie Riley"/>
    <x v="0"/>
    <n v="24"/>
    <x v="2"/>
    <x v="2"/>
    <x v="0"/>
    <n v="56877"/>
    <x v="2"/>
    <x v="1"/>
    <d v="2025-08-08T00:00:00"/>
    <n v="0"/>
    <x v="3"/>
    <x v="7"/>
  </r>
  <r>
    <s v="CUST0338"/>
    <s v="Derek Jones"/>
    <x v="0"/>
    <n v="42"/>
    <x v="0"/>
    <x v="0"/>
    <x v="2"/>
    <n v="131562"/>
    <x v="1"/>
    <x v="0"/>
    <d v="2022-11-03T00:00:00"/>
    <n v="3"/>
    <x v="0"/>
    <x v="8"/>
  </r>
  <r>
    <s v="CUST0339"/>
    <s v="Susan Best"/>
    <x v="1"/>
    <n v="62"/>
    <x v="3"/>
    <x v="1"/>
    <x v="5"/>
    <n v="166385"/>
    <x v="0"/>
    <x v="1"/>
    <d v="2018-06-29T00:00:00"/>
    <n v="7"/>
    <x v="1"/>
    <x v="2"/>
  </r>
  <r>
    <s v="CUST0340"/>
    <s v="Kyle Hendricks"/>
    <x v="1"/>
    <n v="21"/>
    <x v="2"/>
    <x v="0"/>
    <x v="2"/>
    <n v="92715"/>
    <x v="2"/>
    <x v="0"/>
    <d v="2017-07-11T00:00:00"/>
    <n v="8"/>
    <x v="2"/>
    <x v="4"/>
  </r>
  <r>
    <s v="CUST0341"/>
    <s v="Paul Payne"/>
    <x v="0"/>
    <n v="53"/>
    <x v="1"/>
    <x v="0"/>
    <x v="2"/>
    <n v="161398"/>
    <x v="0"/>
    <x v="0"/>
    <d v="2017-10-01T00:00:00"/>
    <n v="8"/>
    <x v="2"/>
    <x v="4"/>
  </r>
  <r>
    <s v="CUST0342"/>
    <s v="Perry Alvarez"/>
    <x v="1"/>
    <n v="23"/>
    <x v="2"/>
    <x v="0"/>
    <x v="3"/>
    <n v="130091"/>
    <x v="1"/>
    <x v="1"/>
    <d v="2023-04-01T00:00:00"/>
    <n v="3"/>
    <x v="0"/>
    <x v="0"/>
  </r>
  <r>
    <s v="CUST0343"/>
    <s v="Danielle Cox"/>
    <x v="0"/>
    <n v="48"/>
    <x v="1"/>
    <x v="0"/>
    <x v="5"/>
    <n v="152632"/>
    <x v="0"/>
    <x v="0"/>
    <d v="2018-02-23T00:00:00"/>
    <n v="8"/>
    <x v="2"/>
    <x v="2"/>
  </r>
  <r>
    <s v="CUST0344"/>
    <s v="Christian Mendez"/>
    <x v="1"/>
    <n v="36"/>
    <x v="0"/>
    <x v="1"/>
    <x v="5"/>
    <n v="99148"/>
    <x v="2"/>
    <x v="2"/>
    <d v="2017-11-13T00:00:00"/>
    <n v="8"/>
    <x v="2"/>
    <x v="4"/>
  </r>
  <r>
    <s v="CUST0345"/>
    <s v="Alicia Day"/>
    <x v="0"/>
    <n v="61"/>
    <x v="3"/>
    <x v="1"/>
    <x v="5"/>
    <n v="103186"/>
    <x v="1"/>
    <x v="0"/>
    <d v="2019-08-27T00:00:00"/>
    <n v="6"/>
    <x v="1"/>
    <x v="6"/>
  </r>
  <r>
    <s v="CUST0346"/>
    <s v="Nathan Smith"/>
    <x v="0"/>
    <n v="71"/>
    <x v="3"/>
    <x v="2"/>
    <x v="5"/>
    <n v="177817"/>
    <x v="0"/>
    <x v="1"/>
    <d v="2022-05-28T00:00:00"/>
    <n v="3"/>
    <x v="0"/>
    <x v="8"/>
  </r>
  <r>
    <s v="CUST0347"/>
    <s v="Oscar Ortiz"/>
    <x v="0"/>
    <n v="56"/>
    <x v="1"/>
    <x v="3"/>
    <x v="5"/>
    <n v="182962"/>
    <x v="0"/>
    <x v="1"/>
    <d v="2024-09-25T00:00:00"/>
    <n v="1"/>
    <x v="3"/>
    <x v="5"/>
  </r>
  <r>
    <s v="CUST0348"/>
    <s v="Jenna Cochran"/>
    <x v="1"/>
    <n v="44"/>
    <x v="0"/>
    <x v="1"/>
    <x v="3"/>
    <n v="171094"/>
    <x v="0"/>
    <x v="1"/>
    <d v="2019-01-20T00:00:00"/>
    <n v="7"/>
    <x v="1"/>
    <x v="6"/>
  </r>
  <r>
    <s v="CUST0349"/>
    <s v="Christopher Spencer"/>
    <x v="1"/>
    <n v="27"/>
    <x v="2"/>
    <x v="1"/>
    <x v="0"/>
    <n v="143629"/>
    <x v="1"/>
    <x v="1"/>
    <d v="2025-08-19T00:00:00"/>
    <n v="0"/>
    <x v="3"/>
    <x v="7"/>
  </r>
  <r>
    <s v="CUST0350"/>
    <s v="Brandon Fox DDS"/>
    <x v="0"/>
    <n v="43"/>
    <x v="0"/>
    <x v="3"/>
    <x v="2"/>
    <n v="90316"/>
    <x v="2"/>
    <x v="1"/>
    <d v="2022-12-31T00:00:00"/>
    <n v="3"/>
    <x v="0"/>
    <x v="8"/>
  </r>
  <r>
    <s v="CUST0351"/>
    <s v="Alexander Davis"/>
    <x v="1"/>
    <n v="36"/>
    <x v="0"/>
    <x v="1"/>
    <x v="5"/>
    <n v="48380"/>
    <x v="2"/>
    <x v="0"/>
    <d v="2021-02-14T00:00:00"/>
    <n v="5"/>
    <x v="1"/>
    <x v="1"/>
  </r>
  <r>
    <s v="CUST0352"/>
    <s v="Steven Gilbert"/>
    <x v="0"/>
    <n v="56"/>
    <x v="1"/>
    <x v="0"/>
    <x v="6"/>
    <n v="130198"/>
    <x v="1"/>
    <x v="0"/>
    <d v="2020-05-22T00:00:00"/>
    <n v="5"/>
    <x v="1"/>
    <x v="9"/>
  </r>
  <r>
    <s v="CUST0353"/>
    <s v="Valerie Dunlap MD"/>
    <x v="0"/>
    <n v="20"/>
    <x v="2"/>
    <x v="0"/>
    <x v="0"/>
    <n v="22356"/>
    <x v="2"/>
    <x v="0"/>
    <d v="2019-09-19T00:00:00"/>
    <n v="6"/>
    <x v="1"/>
    <x v="6"/>
  </r>
  <r>
    <s v="CUST0354"/>
    <s v="Kathleen Richardson"/>
    <x v="1"/>
    <n v="62"/>
    <x v="3"/>
    <x v="3"/>
    <x v="0"/>
    <n v="90326"/>
    <x v="2"/>
    <x v="1"/>
    <d v="2019-10-20T00:00:00"/>
    <n v="6"/>
    <x v="1"/>
    <x v="6"/>
  </r>
  <r>
    <s v="CUST0355"/>
    <s v="Rebecca Doyle"/>
    <x v="1"/>
    <n v="30"/>
    <x v="0"/>
    <x v="2"/>
    <x v="2"/>
    <n v="112447"/>
    <x v="1"/>
    <x v="0"/>
    <d v="2020-01-17T00:00:00"/>
    <n v="6"/>
    <x v="1"/>
    <x v="9"/>
  </r>
  <r>
    <s v="CUST0356"/>
    <s v="Tyler Harris"/>
    <x v="0"/>
    <n v="67"/>
    <x v="3"/>
    <x v="2"/>
    <x v="3"/>
    <n v="134994"/>
    <x v="1"/>
    <x v="1"/>
    <d v="2018-10-01T00:00:00"/>
    <n v="7"/>
    <x v="1"/>
    <x v="2"/>
  </r>
  <r>
    <s v="CUST0357"/>
    <s v="Jordan Bates"/>
    <x v="1"/>
    <n v="45"/>
    <x v="1"/>
    <x v="3"/>
    <x v="1"/>
    <n v="40049"/>
    <x v="2"/>
    <x v="0"/>
    <d v="2020-12-25T00:00:00"/>
    <n v="5"/>
    <x v="1"/>
    <x v="9"/>
  </r>
  <r>
    <s v="CUST0358"/>
    <s v="Susan Walsh"/>
    <x v="1"/>
    <n v="37"/>
    <x v="0"/>
    <x v="3"/>
    <x v="1"/>
    <n v="125361"/>
    <x v="1"/>
    <x v="0"/>
    <d v="2021-05-26T00:00:00"/>
    <n v="4"/>
    <x v="1"/>
    <x v="1"/>
  </r>
  <r>
    <s v="CUST0359"/>
    <s v="Zachary Knapp"/>
    <x v="0"/>
    <n v="45"/>
    <x v="1"/>
    <x v="0"/>
    <x v="0"/>
    <n v="36082"/>
    <x v="2"/>
    <x v="1"/>
    <d v="2023-01-28T00:00:00"/>
    <n v="3"/>
    <x v="0"/>
    <x v="0"/>
  </r>
  <r>
    <s v="CUST0360"/>
    <s v="Alfred Griffith"/>
    <x v="0"/>
    <n v="25"/>
    <x v="2"/>
    <x v="2"/>
    <x v="4"/>
    <n v="20661"/>
    <x v="2"/>
    <x v="0"/>
    <d v="2022-09-15T00:00:00"/>
    <n v="3"/>
    <x v="0"/>
    <x v="8"/>
  </r>
  <r>
    <s v="CUST0361"/>
    <s v="Jack Smith"/>
    <x v="1"/>
    <n v="58"/>
    <x v="1"/>
    <x v="1"/>
    <x v="4"/>
    <n v="188484"/>
    <x v="0"/>
    <x v="0"/>
    <d v="2024-04-10T00:00:00"/>
    <n v="2"/>
    <x v="0"/>
    <x v="5"/>
  </r>
  <r>
    <s v="CUST0362"/>
    <s v="Arthur Green"/>
    <x v="0"/>
    <n v="56"/>
    <x v="1"/>
    <x v="0"/>
    <x v="2"/>
    <n v="22920"/>
    <x v="2"/>
    <x v="0"/>
    <d v="2015-10-18T00:00:00"/>
    <n v="10"/>
    <x v="2"/>
    <x v="10"/>
  </r>
  <r>
    <s v="CUST0363"/>
    <s v="William Fuller"/>
    <x v="0"/>
    <n v="18"/>
    <x v="2"/>
    <x v="3"/>
    <x v="1"/>
    <n v="99561"/>
    <x v="2"/>
    <x v="2"/>
    <d v="2016-07-30T00:00:00"/>
    <n v="9"/>
    <x v="2"/>
    <x v="3"/>
  </r>
  <r>
    <s v="CUST0364"/>
    <s v="Jeffrey Long"/>
    <x v="1"/>
    <n v="20"/>
    <x v="2"/>
    <x v="2"/>
    <x v="0"/>
    <n v="28946"/>
    <x v="2"/>
    <x v="1"/>
    <d v="2016-03-13T00:00:00"/>
    <n v="10"/>
    <x v="2"/>
    <x v="3"/>
  </r>
  <r>
    <s v="CUST0365"/>
    <s v="Andrea Turner"/>
    <x v="0"/>
    <n v="30"/>
    <x v="0"/>
    <x v="1"/>
    <x v="3"/>
    <n v="196572"/>
    <x v="0"/>
    <x v="0"/>
    <d v="2024-11-11T00:00:00"/>
    <n v="1"/>
    <x v="3"/>
    <x v="5"/>
  </r>
  <r>
    <s v="CUST0366"/>
    <s v="Gregory Lee"/>
    <x v="0"/>
    <n v="45"/>
    <x v="1"/>
    <x v="1"/>
    <x v="1"/>
    <n v="36309"/>
    <x v="2"/>
    <x v="0"/>
    <d v="2019-11-04T00:00:00"/>
    <n v="6"/>
    <x v="1"/>
    <x v="6"/>
  </r>
  <r>
    <s v="CUST0367"/>
    <s v="David Hatfield"/>
    <x v="1"/>
    <n v="74"/>
    <x v="3"/>
    <x v="0"/>
    <x v="0"/>
    <n v="75230"/>
    <x v="2"/>
    <x v="0"/>
    <d v="2019-11-26T00:00:00"/>
    <n v="6"/>
    <x v="1"/>
    <x v="6"/>
  </r>
  <r>
    <s v="CUST0368"/>
    <s v="Scott Jackson"/>
    <x v="1"/>
    <n v="66"/>
    <x v="3"/>
    <x v="2"/>
    <x v="0"/>
    <n v="131822"/>
    <x v="1"/>
    <x v="1"/>
    <d v="2019-12-12T00:00:00"/>
    <n v="6"/>
    <x v="1"/>
    <x v="6"/>
  </r>
  <r>
    <s v="CUST0369"/>
    <s v="Heather Davis"/>
    <x v="0"/>
    <n v="42"/>
    <x v="0"/>
    <x v="2"/>
    <x v="5"/>
    <n v="181099"/>
    <x v="0"/>
    <x v="1"/>
    <d v="2023-01-28T00:00:00"/>
    <n v="3"/>
    <x v="0"/>
    <x v="0"/>
  </r>
  <r>
    <s v="CUST0370"/>
    <s v="Brooke Hayes"/>
    <x v="0"/>
    <n v="73"/>
    <x v="3"/>
    <x v="3"/>
    <x v="3"/>
    <n v="132340"/>
    <x v="1"/>
    <x v="0"/>
    <d v="2016-06-24T00:00:00"/>
    <n v="9"/>
    <x v="2"/>
    <x v="3"/>
  </r>
  <r>
    <s v="CUST0371"/>
    <s v="Kaitlyn Johnson"/>
    <x v="1"/>
    <n v="50"/>
    <x v="1"/>
    <x v="2"/>
    <x v="5"/>
    <n v="79321"/>
    <x v="2"/>
    <x v="0"/>
    <d v="2017-11-08T00:00:00"/>
    <n v="8"/>
    <x v="2"/>
    <x v="4"/>
  </r>
  <r>
    <s v="CUST0372"/>
    <s v="Daisy Casey"/>
    <x v="1"/>
    <n v="55"/>
    <x v="1"/>
    <x v="2"/>
    <x v="2"/>
    <n v="152028"/>
    <x v="0"/>
    <x v="0"/>
    <d v="2022-07-03T00:00:00"/>
    <n v="3"/>
    <x v="0"/>
    <x v="8"/>
  </r>
  <r>
    <s v="CUST0373"/>
    <s v="Melvin Wells"/>
    <x v="1"/>
    <n v="70"/>
    <x v="3"/>
    <x v="0"/>
    <x v="5"/>
    <n v="94131"/>
    <x v="2"/>
    <x v="1"/>
    <d v="2024-07-28T00:00:00"/>
    <n v="1"/>
    <x v="3"/>
    <x v="5"/>
  </r>
  <r>
    <s v="CUST0374"/>
    <s v="Jacqueline Russell"/>
    <x v="1"/>
    <n v="23"/>
    <x v="2"/>
    <x v="2"/>
    <x v="6"/>
    <n v="198980"/>
    <x v="0"/>
    <x v="1"/>
    <d v="2019-10-12T00:00:00"/>
    <n v="6"/>
    <x v="1"/>
    <x v="6"/>
  </r>
  <r>
    <s v="CUST0375"/>
    <s v="Paul Stephens"/>
    <x v="0"/>
    <n v="61"/>
    <x v="3"/>
    <x v="1"/>
    <x v="5"/>
    <n v="45963"/>
    <x v="2"/>
    <x v="0"/>
    <d v="2022-08-25T00:00:00"/>
    <n v="3"/>
    <x v="0"/>
    <x v="8"/>
  </r>
  <r>
    <s v="CUST0376"/>
    <s v="Angela Jackson"/>
    <x v="1"/>
    <n v="62"/>
    <x v="3"/>
    <x v="0"/>
    <x v="6"/>
    <n v="121757"/>
    <x v="1"/>
    <x v="0"/>
    <d v="2015-10-07T00:00:00"/>
    <n v="10"/>
    <x v="2"/>
    <x v="10"/>
  </r>
  <r>
    <s v="CUST0377"/>
    <s v="Ashley Hayes"/>
    <x v="1"/>
    <n v="49"/>
    <x v="1"/>
    <x v="0"/>
    <x v="1"/>
    <n v="190515"/>
    <x v="0"/>
    <x v="0"/>
    <d v="2022-12-23T00:00:00"/>
    <n v="3"/>
    <x v="0"/>
    <x v="8"/>
  </r>
  <r>
    <s v="CUST0378"/>
    <s v="Claudia Casey"/>
    <x v="0"/>
    <n v="62"/>
    <x v="3"/>
    <x v="3"/>
    <x v="4"/>
    <n v="119259"/>
    <x v="1"/>
    <x v="2"/>
    <d v="2016-12-27T00:00:00"/>
    <n v="9"/>
    <x v="2"/>
    <x v="3"/>
  </r>
  <r>
    <s v="CUST0379"/>
    <s v="Jay Jackson"/>
    <x v="1"/>
    <n v="64"/>
    <x v="3"/>
    <x v="2"/>
    <x v="0"/>
    <n v="59063"/>
    <x v="2"/>
    <x v="0"/>
    <d v="2023-02-15T00:00:00"/>
    <n v="3"/>
    <x v="0"/>
    <x v="0"/>
  </r>
  <r>
    <s v="CUST0380"/>
    <s v="Brandon Morales"/>
    <x v="0"/>
    <n v="38"/>
    <x v="0"/>
    <x v="3"/>
    <x v="6"/>
    <n v="134225"/>
    <x v="1"/>
    <x v="1"/>
    <d v="2021-12-08T00:00:00"/>
    <n v="4"/>
    <x v="1"/>
    <x v="1"/>
  </r>
  <r>
    <s v="CUST0381"/>
    <s v="Timothy Mcknight"/>
    <x v="1"/>
    <n v="33"/>
    <x v="0"/>
    <x v="1"/>
    <x v="3"/>
    <n v="136400"/>
    <x v="1"/>
    <x v="1"/>
    <d v="2018-12-29T00:00:00"/>
    <n v="7"/>
    <x v="1"/>
    <x v="2"/>
  </r>
  <r>
    <s v="CUST0382"/>
    <s v="Wendy Hodge"/>
    <x v="1"/>
    <n v="71"/>
    <x v="3"/>
    <x v="0"/>
    <x v="5"/>
    <n v="100818"/>
    <x v="1"/>
    <x v="0"/>
    <d v="2020-06-13T00:00:00"/>
    <n v="5"/>
    <x v="1"/>
    <x v="9"/>
  </r>
  <r>
    <s v="CUST0383"/>
    <s v="Aaron Hernandez"/>
    <x v="1"/>
    <n v="38"/>
    <x v="0"/>
    <x v="0"/>
    <x v="6"/>
    <n v="24703"/>
    <x v="2"/>
    <x v="0"/>
    <d v="2022-12-01T00:00:00"/>
    <n v="3"/>
    <x v="0"/>
    <x v="8"/>
  </r>
  <r>
    <s v="CUST0384"/>
    <s v="Erik Baldwin"/>
    <x v="0"/>
    <n v="28"/>
    <x v="2"/>
    <x v="0"/>
    <x v="3"/>
    <n v="92099"/>
    <x v="2"/>
    <x v="0"/>
    <d v="2021-08-02T00:00:00"/>
    <n v="4"/>
    <x v="1"/>
    <x v="1"/>
  </r>
  <r>
    <s v="CUST0385"/>
    <s v="Michael West"/>
    <x v="0"/>
    <n v="54"/>
    <x v="1"/>
    <x v="1"/>
    <x v="4"/>
    <n v="176921"/>
    <x v="0"/>
    <x v="1"/>
    <d v="2022-11-24T00:00:00"/>
    <n v="3"/>
    <x v="0"/>
    <x v="8"/>
  </r>
  <r>
    <s v="CUST0386"/>
    <s v="Megan Davis"/>
    <x v="1"/>
    <n v="53"/>
    <x v="1"/>
    <x v="1"/>
    <x v="4"/>
    <n v="182932"/>
    <x v="0"/>
    <x v="1"/>
    <d v="2023-08-19T00:00:00"/>
    <n v="2"/>
    <x v="0"/>
    <x v="0"/>
  </r>
  <r>
    <s v="CUST0387"/>
    <s v="Robert Barnes"/>
    <x v="0"/>
    <n v="52"/>
    <x v="1"/>
    <x v="3"/>
    <x v="5"/>
    <n v="51585"/>
    <x v="2"/>
    <x v="1"/>
    <d v="2019-04-22T00:00:00"/>
    <n v="6"/>
    <x v="1"/>
    <x v="6"/>
  </r>
  <r>
    <s v="CUST0388"/>
    <s v="Zachary Schmidt"/>
    <x v="0"/>
    <n v="36"/>
    <x v="0"/>
    <x v="3"/>
    <x v="2"/>
    <n v="173087"/>
    <x v="0"/>
    <x v="0"/>
    <d v="2020-04-26T00:00:00"/>
    <n v="5"/>
    <x v="1"/>
    <x v="9"/>
  </r>
  <r>
    <s v="CUST0389"/>
    <s v="Michael Mitchell"/>
    <x v="0"/>
    <n v="37"/>
    <x v="0"/>
    <x v="3"/>
    <x v="5"/>
    <n v="63585"/>
    <x v="2"/>
    <x v="0"/>
    <d v="2017-01-22T00:00:00"/>
    <n v="9"/>
    <x v="2"/>
    <x v="4"/>
  </r>
  <r>
    <s v="CUST0390"/>
    <s v="John Dunlap"/>
    <x v="0"/>
    <n v="74"/>
    <x v="3"/>
    <x v="2"/>
    <x v="1"/>
    <n v="46958"/>
    <x v="2"/>
    <x v="2"/>
    <d v="2021-01-24T00:00:00"/>
    <n v="5"/>
    <x v="1"/>
    <x v="1"/>
  </r>
  <r>
    <s v="CUST0391"/>
    <s v="Alexis Becker"/>
    <x v="0"/>
    <n v="35"/>
    <x v="0"/>
    <x v="0"/>
    <x v="6"/>
    <n v="46017"/>
    <x v="2"/>
    <x v="1"/>
    <d v="2017-07-15T00:00:00"/>
    <n v="8"/>
    <x v="2"/>
    <x v="4"/>
  </r>
  <r>
    <s v="CUST0392"/>
    <s v="John Jacobs"/>
    <x v="0"/>
    <n v="64"/>
    <x v="3"/>
    <x v="0"/>
    <x v="0"/>
    <n v="144677"/>
    <x v="1"/>
    <x v="0"/>
    <d v="2018-11-18T00:00:00"/>
    <n v="7"/>
    <x v="1"/>
    <x v="2"/>
  </r>
  <r>
    <s v="CUST0393"/>
    <s v="Tina Adams"/>
    <x v="1"/>
    <n v="58"/>
    <x v="1"/>
    <x v="3"/>
    <x v="2"/>
    <n v="196422"/>
    <x v="0"/>
    <x v="2"/>
    <d v="2021-12-15T00:00:00"/>
    <n v="4"/>
    <x v="1"/>
    <x v="1"/>
  </r>
  <r>
    <s v="CUST0394"/>
    <s v="Daniel Moore"/>
    <x v="1"/>
    <n v="66"/>
    <x v="3"/>
    <x v="0"/>
    <x v="5"/>
    <n v="163273"/>
    <x v="0"/>
    <x v="1"/>
    <d v="2016-01-15T00:00:00"/>
    <n v="10"/>
    <x v="2"/>
    <x v="3"/>
  </r>
  <r>
    <s v="CUST0395"/>
    <s v="Patricia Bush"/>
    <x v="0"/>
    <n v="31"/>
    <x v="0"/>
    <x v="3"/>
    <x v="3"/>
    <n v="49426"/>
    <x v="2"/>
    <x v="0"/>
    <d v="2024-03-21T00:00:00"/>
    <n v="2"/>
    <x v="0"/>
    <x v="5"/>
  </r>
  <r>
    <s v="CUST0396"/>
    <s v="Daniel Bradley"/>
    <x v="1"/>
    <n v="32"/>
    <x v="0"/>
    <x v="2"/>
    <x v="2"/>
    <n v="37778"/>
    <x v="2"/>
    <x v="1"/>
    <d v="2022-06-02T00:00:00"/>
    <n v="3"/>
    <x v="0"/>
    <x v="8"/>
  </r>
  <r>
    <s v="CUST0397"/>
    <s v="Amanda Walls"/>
    <x v="1"/>
    <n v="48"/>
    <x v="1"/>
    <x v="2"/>
    <x v="6"/>
    <n v="196313"/>
    <x v="0"/>
    <x v="1"/>
    <d v="2020-12-11T00:00:00"/>
    <n v="5"/>
    <x v="1"/>
    <x v="9"/>
  </r>
  <r>
    <s v="CUST0398"/>
    <s v="Elizabeth Green"/>
    <x v="1"/>
    <n v="18"/>
    <x v="2"/>
    <x v="1"/>
    <x v="2"/>
    <n v="62229"/>
    <x v="2"/>
    <x v="1"/>
    <d v="2023-08-22T00:00:00"/>
    <n v="2"/>
    <x v="0"/>
    <x v="0"/>
  </r>
  <r>
    <s v="CUST0399"/>
    <s v="Kevin Hughes"/>
    <x v="1"/>
    <n v="70"/>
    <x v="3"/>
    <x v="2"/>
    <x v="6"/>
    <n v="106652"/>
    <x v="1"/>
    <x v="0"/>
    <d v="2025-02-14T00:00:00"/>
    <n v="1"/>
    <x v="3"/>
    <x v="7"/>
  </r>
  <r>
    <s v="CUST0400"/>
    <s v="Timothy Brewer MD"/>
    <x v="0"/>
    <n v="71"/>
    <x v="3"/>
    <x v="3"/>
    <x v="5"/>
    <n v="148267"/>
    <x v="1"/>
    <x v="0"/>
    <d v="2017-02-23T00:00:00"/>
    <n v="9"/>
    <x v="2"/>
    <x v="4"/>
  </r>
  <r>
    <s v="CUST0401"/>
    <s v="Kelsey Rodriguez"/>
    <x v="1"/>
    <n v="71"/>
    <x v="3"/>
    <x v="2"/>
    <x v="6"/>
    <n v="199436"/>
    <x v="0"/>
    <x v="2"/>
    <d v="2020-09-26T00:00:00"/>
    <n v="5"/>
    <x v="1"/>
    <x v="9"/>
  </r>
  <r>
    <s v="CUST0402"/>
    <s v="Brandon Dominguez"/>
    <x v="1"/>
    <n v="20"/>
    <x v="2"/>
    <x v="1"/>
    <x v="2"/>
    <n v="146503"/>
    <x v="1"/>
    <x v="0"/>
    <d v="2021-04-24T00:00:00"/>
    <n v="4"/>
    <x v="1"/>
    <x v="1"/>
  </r>
  <r>
    <s v="CUST0403"/>
    <s v="Amy Moreno"/>
    <x v="0"/>
    <n v="33"/>
    <x v="0"/>
    <x v="0"/>
    <x v="3"/>
    <n v="104878"/>
    <x v="1"/>
    <x v="0"/>
    <d v="2019-02-27T00:00:00"/>
    <n v="7"/>
    <x v="1"/>
    <x v="6"/>
  </r>
  <r>
    <s v="CUST0404"/>
    <s v="Jessica Lee"/>
    <x v="0"/>
    <n v="40"/>
    <x v="0"/>
    <x v="3"/>
    <x v="4"/>
    <n v="77056"/>
    <x v="2"/>
    <x v="0"/>
    <d v="2021-03-13T00:00:00"/>
    <n v="5"/>
    <x v="1"/>
    <x v="1"/>
  </r>
  <r>
    <s v="CUST0405"/>
    <s v="Morgan Douglas"/>
    <x v="1"/>
    <n v="74"/>
    <x v="3"/>
    <x v="0"/>
    <x v="2"/>
    <n v="178562"/>
    <x v="0"/>
    <x v="0"/>
    <d v="2023-11-16T00:00:00"/>
    <n v="2"/>
    <x v="0"/>
    <x v="0"/>
  </r>
  <r>
    <s v="CUST0406"/>
    <s v="Katherine Freeman"/>
    <x v="1"/>
    <n v="28"/>
    <x v="2"/>
    <x v="1"/>
    <x v="6"/>
    <n v="39975"/>
    <x v="2"/>
    <x v="1"/>
    <d v="2022-12-07T00:00:00"/>
    <n v="3"/>
    <x v="0"/>
    <x v="8"/>
  </r>
  <r>
    <s v="CUST0407"/>
    <s v="Tammy Jackson"/>
    <x v="1"/>
    <n v="29"/>
    <x v="0"/>
    <x v="1"/>
    <x v="4"/>
    <n v="177795"/>
    <x v="0"/>
    <x v="2"/>
    <d v="2017-12-28T00:00:00"/>
    <n v="8"/>
    <x v="2"/>
    <x v="4"/>
  </r>
  <r>
    <s v="CUST0408"/>
    <s v="Roger Koch"/>
    <x v="1"/>
    <n v="27"/>
    <x v="2"/>
    <x v="1"/>
    <x v="6"/>
    <n v="174351"/>
    <x v="0"/>
    <x v="0"/>
    <d v="2016-07-20T00:00:00"/>
    <n v="9"/>
    <x v="2"/>
    <x v="3"/>
  </r>
  <r>
    <s v="CUST0409"/>
    <s v="Shannon Moss"/>
    <x v="1"/>
    <n v="49"/>
    <x v="1"/>
    <x v="0"/>
    <x v="3"/>
    <n v="162633"/>
    <x v="0"/>
    <x v="0"/>
    <d v="2019-09-13T00:00:00"/>
    <n v="6"/>
    <x v="1"/>
    <x v="6"/>
  </r>
  <r>
    <s v="CUST0410"/>
    <s v="Shelley Moss"/>
    <x v="1"/>
    <n v="33"/>
    <x v="0"/>
    <x v="0"/>
    <x v="6"/>
    <n v="108397"/>
    <x v="1"/>
    <x v="0"/>
    <d v="2016-08-05T00:00:00"/>
    <n v="9"/>
    <x v="2"/>
    <x v="3"/>
  </r>
  <r>
    <s v="CUST0411"/>
    <s v="Darren Morgan"/>
    <x v="0"/>
    <n v="25"/>
    <x v="2"/>
    <x v="0"/>
    <x v="5"/>
    <n v="53142"/>
    <x v="2"/>
    <x v="1"/>
    <d v="2018-11-07T00:00:00"/>
    <n v="7"/>
    <x v="1"/>
    <x v="2"/>
  </r>
  <r>
    <s v="CUST0412"/>
    <s v="Jackie Bell"/>
    <x v="1"/>
    <n v="55"/>
    <x v="1"/>
    <x v="0"/>
    <x v="0"/>
    <n v="46916"/>
    <x v="2"/>
    <x v="1"/>
    <d v="2024-11-12T00:00:00"/>
    <n v="1"/>
    <x v="3"/>
    <x v="5"/>
  </r>
  <r>
    <s v="CUST0413"/>
    <s v="Kristen Petersen"/>
    <x v="1"/>
    <n v="29"/>
    <x v="0"/>
    <x v="1"/>
    <x v="2"/>
    <n v="84324"/>
    <x v="2"/>
    <x v="0"/>
    <d v="2023-02-08T00:00:00"/>
    <n v="3"/>
    <x v="0"/>
    <x v="0"/>
  </r>
  <r>
    <s v="CUST0414"/>
    <s v="Jennifer Mercado"/>
    <x v="0"/>
    <n v="41"/>
    <x v="0"/>
    <x v="1"/>
    <x v="0"/>
    <n v="196037"/>
    <x v="0"/>
    <x v="1"/>
    <d v="2016-03-28T00:00:00"/>
    <n v="10"/>
    <x v="2"/>
    <x v="3"/>
  </r>
  <r>
    <s v="CUST0415"/>
    <s v="Kyle Rodriguez"/>
    <x v="0"/>
    <n v="45"/>
    <x v="1"/>
    <x v="3"/>
    <x v="6"/>
    <n v="145932"/>
    <x v="1"/>
    <x v="1"/>
    <d v="2025-08-15T00:00:00"/>
    <n v="0"/>
    <x v="3"/>
    <x v="7"/>
  </r>
  <r>
    <s v="CUST0416"/>
    <s v="Jose Mayer"/>
    <x v="0"/>
    <n v="70"/>
    <x v="3"/>
    <x v="3"/>
    <x v="3"/>
    <n v="155720"/>
    <x v="0"/>
    <x v="1"/>
    <d v="2017-10-14T00:00:00"/>
    <n v="8"/>
    <x v="2"/>
    <x v="4"/>
  </r>
  <r>
    <s v="CUST0417"/>
    <s v="Logan Fleming"/>
    <x v="0"/>
    <n v="25"/>
    <x v="2"/>
    <x v="0"/>
    <x v="2"/>
    <n v="186205"/>
    <x v="0"/>
    <x v="2"/>
    <d v="2024-10-30T00:00:00"/>
    <n v="1"/>
    <x v="3"/>
    <x v="5"/>
  </r>
  <r>
    <s v="CUST0418"/>
    <s v="Cameron Cox"/>
    <x v="1"/>
    <n v="45"/>
    <x v="1"/>
    <x v="2"/>
    <x v="6"/>
    <n v="116059"/>
    <x v="1"/>
    <x v="0"/>
    <d v="2018-11-28T00:00:00"/>
    <n v="7"/>
    <x v="1"/>
    <x v="2"/>
  </r>
  <r>
    <s v="CUST0419"/>
    <s v="Kimberly Lopez"/>
    <x v="1"/>
    <n v="53"/>
    <x v="1"/>
    <x v="2"/>
    <x v="4"/>
    <n v="118317"/>
    <x v="1"/>
    <x v="1"/>
    <d v="2017-03-08T00:00:00"/>
    <n v="9"/>
    <x v="2"/>
    <x v="4"/>
  </r>
  <r>
    <s v="CUST0420"/>
    <s v="James Edwards"/>
    <x v="1"/>
    <n v="43"/>
    <x v="0"/>
    <x v="1"/>
    <x v="1"/>
    <n v="55046"/>
    <x v="2"/>
    <x v="0"/>
    <d v="2021-04-27T00:00:00"/>
    <n v="4"/>
    <x v="1"/>
    <x v="1"/>
  </r>
  <r>
    <s v="CUST0421"/>
    <s v="Jon Russell"/>
    <x v="1"/>
    <n v="25"/>
    <x v="2"/>
    <x v="1"/>
    <x v="6"/>
    <n v="198136"/>
    <x v="0"/>
    <x v="1"/>
    <d v="2016-07-14T00:00:00"/>
    <n v="9"/>
    <x v="2"/>
    <x v="3"/>
  </r>
  <r>
    <s v="CUST0422"/>
    <s v="Amanda Thompson"/>
    <x v="1"/>
    <n v="67"/>
    <x v="3"/>
    <x v="1"/>
    <x v="0"/>
    <n v="121459"/>
    <x v="1"/>
    <x v="1"/>
    <d v="2021-11-23T00:00:00"/>
    <n v="4"/>
    <x v="1"/>
    <x v="1"/>
  </r>
  <r>
    <s v="CUST0423"/>
    <s v="Matthew Martinez"/>
    <x v="1"/>
    <n v="45"/>
    <x v="1"/>
    <x v="3"/>
    <x v="2"/>
    <n v="65893"/>
    <x v="2"/>
    <x v="1"/>
    <d v="2021-11-13T00:00:00"/>
    <n v="4"/>
    <x v="1"/>
    <x v="1"/>
  </r>
  <r>
    <s v="CUST0424"/>
    <s v="Matthew Martinez"/>
    <x v="0"/>
    <n v="45"/>
    <x v="1"/>
    <x v="3"/>
    <x v="0"/>
    <n v="121520"/>
    <x v="1"/>
    <x v="1"/>
    <d v="2020-10-07T00:00:00"/>
    <n v="5"/>
    <x v="1"/>
    <x v="9"/>
  </r>
  <r>
    <s v="CUST0425"/>
    <s v="Gregory Scott"/>
    <x v="1"/>
    <n v="54"/>
    <x v="1"/>
    <x v="1"/>
    <x v="2"/>
    <n v="145818"/>
    <x v="1"/>
    <x v="0"/>
    <d v="2017-07-01T00:00:00"/>
    <n v="8"/>
    <x v="2"/>
    <x v="4"/>
  </r>
  <r>
    <s v="CUST0426"/>
    <s v="Michele Wood"/>
    <x v="0"/>
    <n v="58"/>
    <x v="1"/>
    <x v="1"/>
    <x v="6"/>
    <n v="81272"/>
    <x v="2"/>
    <x v="0"/>
    <d v="2017-01-12T00:00:00"/>
    <n v="9"/>
    <x v="2"/>
    <x v="4"/>
  </r>
  <r>
    <s v="CUST0427"/>
    <s v="Juan Reed"/>
    <x v="0"/>
    <n v="53"/>
    <x v="1"/>
    <x v="1"/>
    <x v="5"/>
    <n v="87649"/>
    <x v="2"/>
    <x v="2"/>
    <d v="2023-05-06T00:00:00"/>
    <n v="2"/>
    <x v="0"/>
    <x v="0"/>
  </r>
  <r>
    <s v="CUST0428"/>
    <s v="Michelle Lyons"/>
    <x v="1"/>
    <n v="44"/>
    <x v="0"/>
    <x v="2"/>
    <x v="4"/>
    <n v="84674"/>
    <x v="2"/>
    <x v="2"/>
    <d v="2019-06-01T00:00:00"/>
    <n v="6"/>
    <x v="1"/>
    <x v="6"/>
  </r>
  <r>
    <s v="CUST0429"/>
    <s v="Courtney Carr"/>
    <x v="0"/>
    <n v="71"/>
    <x v="3"/>
    <x v="3"/>
    <x v="6"/>
    <n v="164832"/>
    <x v="0"/>
    <x v="0"/>
    <d v="2017-08-24T00:00:00"/>
    <n v="8"/>
    <x v="2"/>
    <x v="4"/>
  </r>
  <r>
    <s v="CUST0430"/>
    <s v="Mary Clark"/>
    <x v="1"/>
    <n v="34"/>
    <x v="0"/>
    <x v="2"/>
    <x v="0"/>
    <n v="172999"/>
    <x v="0"/>
    <x v="0"/>
    <d v="2017-06-08T00:00:00"/>
    <n v="8"/>
    <x v="2"/>
    <x v="4"/>
  </r>
  <r>
    <s v="CUST0431"/>
    <s v="Dana Robinson"/>
    <x v="0"/>
    <n v="26"/>
    <x v="2"/>
    <x v="2"/>
    <x v="1"/>
    <n v="106475"/>
    <x v="1"/>
    <x v="0"/>
    <d v="2023-07-26T00:00:00"/>
    <n v="2"/>
    <x v="0"/>
    <x v="0"/>
  </r>
  <r>
    <s v="CUST0432"/>
    <s v="Zachary Vasquez"/>
    <x v="1"/>
    <n v="50"/>
    <x v="1"/>
    <x v="1"/>
    <x v="1"/>
    <n v="81367"/>
    <x v="2"/>
    <x v="1"/>
    <d v="2017-06-01T00:00:00"/>
    <n v="8"/>
    <x v="2"/>
    <x v="4"/>
  </r>
  <r>
    <s v="CUST0433"/>
    <s v="Brendan Shepard MD"/>
    <x v="0"/>
    <n v="70"/>
    <x v="3"/>
    <x v="1"/>
    <x v="3"/>
    <n v="163660"/>
    <x v="0"/>
    <x v="1"/>
    <d v="2019-11-05T00:00:00"/>
    <n v="6"/>
    <x v="1"/>
    <x v="6"/>
  </r>
  <r>
    <s v="CUST0434"/>
    <s v="Elizabeth Sanford"/>
    <x v="1"/>
    <n v="37"/>
    <x v="0"/>
    <x v="0"/>
    <x v="2"/>
    <n v="141750"/>
    <x v="1"/>
    <x v="0"/>
    <d v="2019-05-14T00:00:00"/>
    <n v="6"/>
    <x v="1"/>
    <x v="6"/>
  </r>
  <r>
    <s v="CUST0435"/>
    <s v="Jennifer Jenkins"/>
    <x v="1"/>
    <n v="30"/>
    <x v="0"/>
    <x v="0"/>
    <x v="0"/>
    <n v="138154"/>
    <x v="1"/>
    <x v="0"/>
    <d v="2022-12-01T00:00:00"/>
    <n v="3"/>
    <x v="0"/>
    <x v="8"/>
  </r>
  <r>
    <s v="CUST0436"/>
    <s v="Victor Tran"/>
    <x v="1"/>
    <n v="45"/>
    <x v="1"/>
    <x v="2"/>
    <x v="3"/>
    <n v="64738"/>
    <x v="2"/>
    <x v="1"/>
    <d v="2019-10-22T00:00:00"/>
    <n v="6"/>
    <x v="1"/>
    <x v="6"/>
  </r>
  <r>
    <s v="CUST0437"/>
    <s v="Scott Crosby"/>
    <x v="1"/>
    <n v="65"/>
    <x v="3"/>
    <x v="3"/>
    <x v="0"/>
    <n v="53397"/>
    <x v="2"/>
    <x v="1"/>
    <d v="2023-12-21T00:00:00"/>
    <n v="2"/>
    <x v="0"/>
    <x v="0"/>
  </r>
  <r>
    <s v="CUST0438"/>
    <s v="Monica Perez"/>
    <x v="1"/>
    <n v="46"/>
    <x v="1"/>
    <x v="1"/>
    <x v="2"/>
    <n v="102189"/>
    <x v="1"/>
    <x v="0"/>
    <d v="2023-04-21T00:00:00"/>
    <n v="2"/>
    <x v="0"/>
    <x v="0"/>
  </r>
  <r>
    <s v="CUST0439"/>
    <s v="Mallory Miller"/>
    <x v="0"/>
    <n v="30"/>
    <x v="0"/>
    <x v="1"/>
    <x v="6"/>
    <n v="96367"/>
    <x v="2"/>
    <x v="0"/>
    <d v="2024-02-06T00:00:00"/>
    <n v="2"/>
    <x v="0"/>
    <x v="5"/>
  </r>
  <r>
    <s v="CUST0440"/>
    <s v="Kyle Perry"/>
    <x v="0"/>
    <n v="63"/>
    <x v="3"/>
    <x v="2"/>
    <x v="6"/>
    <n v="140585"/>
    <x v="1"/>
    <x v="0"/>
    <d v="2018-06-23T00:00:00"/>
    <n v="7"/>
    <x v="1"/>
    <x v="2"/>
  </r>
  <r>
    <s v="CUST0441"/>
    <s v="Emily Sellers"/>
    <x v="0"/>
    <n v="52"/>
    <x v="1"/>
    <x v="0"/>
    <x v="1"/>
    <n v="96619"/>
    <x v="2"/>
    <x v="0"/>
    <d v="2023-02-07T00:00:00"/>
    <n v="3"/>
    <x v="0"/>
    <x v="0"/>
  </r>
  <r>
    <s v="CUST0442"/>
    <s v="Keith Rodriguez"/>
    <x v="1"/>
    <n v="23"/>
    <x v="2"/>
    <x v="3"/>
    <x v="6"/>
    <n v="131453"/>
    <x v="1"/>
    <x v="0"/>
    <d v="2022-05-11T00:00:00"/>
    <n v="3"/>
    <x v="0"/>
    <x v="8"/>
  </r>
  <r>
    <s v="CUST0443"/>
    <s v="Daniel Crawford"/>
    <x v="0"/>
    <n v="35"/>
    <x v="0"/>
    <x v="0"/>
    <x v="6"/>
    <n v="39816"/>
    <x v="2"/>
    <x v="1"/>
    <d v="2018-07-04T00:00:00"/>
    <n v="7"/>
    <x v="1"/>
    <x v="2"/>
  </r>
  <r>
    <s v="CUST0444"/>
    <s v="Jason Smith"/>
    <x v="1"/>
    <n v="68"/>
    <x v="3"/>
    <x v="0"/>
    <x v="5"/>
    <n v="193312"/>
    <x v="0"/>
    <x v="1"/>
    <d v="2017-12-05T00:00:00"/>
    <n v="8"/>
    <x v="2"/>
    <x v="4"/>
  </r>
  <r>
    <s v="CUST0445"/>
    <s v="Eric Goodwin"/>
    <x v="1"/>
    <n v="22"/>
    <x v="2"/>
    <x v="0"/>
    <x v="1"/>
    <n v="157348"/>
    <x v="0"/>
    <x v="1"/>
    <d v="2022-04-15T00:00:00"/>
    <n v="4"/>
    <x v="1"/>
    <x v="8"/>
  </r>
  <r>
    <s v="CUST0446"/>
    <s v="Jeffrey Grant"/>
    <x v="0"/>
    <n v="64"/>
    <x v="3"/>
    <x v="0"/>
    <x v="3"/>
    <n v="99530"/>
    <x v="2"/>
    <x v="1"/>
    <d v="2021-09-20T00:00:00"/>
    <n v="4"/>
    <x v="1"/>
    <x v="1"/>
  </r>
  <r>
    <s v="CUST0447"/>
    <s v="Scott Wall"/>
    <x v="0"/>
    <n v="42"/>
    <x v="0"/>
    <x v="1"/>
    <x v="4"/>
    <n v="174571"/>
    <x v="0"/>
    <x v="0"/>
    <d v="2023-03-09T00:00:00"/>
    <n v="3"/>
    <x v="0"/>
    <x v="0"/>
  </r>
  <r>
    <s v="CUST0448"/>
    <s v="Alexander Dunn"/>
    <x v="1"/>
    <n v="19"/>
    <x v="2"/>
    <x v="1"/>
    <x v="5"/>
    <n v="128856"/>
    <x v="1"/>
    <x v="0"/>
    <d v="2021-10-24T00:00:00"/>
    <n v="4"/>
    <x v="1"/>
    <x v="1"/>
  </r>
  <r>
    <s v="CUST0449"/>
    <s v="Heather Allen"/>
    <x v="0"/>
    <n v="27"/>
    <x v="2"/>
    <x v="0"/>
    <x v="3"/>
    <n v="91635"/>
    <x v="2"/>
    <x v="0"/>
    <d v="2020-07-20T00:00:00"/>
    <n v="5"/>
    <x v="1"/>
    <x v="9"/>
  </r>
  <r>
    <s v="CUST0450"/>
    <s v="Seth Kent"/>
    <x v="1"/>
    <n v="73"/>
    <x v="3"/>
    <x v="3"/>
    <x v="2"/>
    <n v="127803"/>
    <x v="1"/>
    <x v="0"/>
    <d v="2024-07-13T00:00:00"/>
    <n v="1"/>
    <x v="3"/>
    <x v="5"/>
  </r>
  <r>
    <s v="CUST0451"/>
    <s v="Audrey Walters"/>
    <x v="1"/>
    <n v="47"/>
    <x v="1"/>
    <x v="2"/>
    <x v="5"/>
    <n v="55946"/>
    <x v="2"/>
    <x v="1"/>
    <d v="2016-07-29T00:00:00"/>
    <n v="9"/>
    <x v="2"/>
    <x v="3"/>
  </r>
  <r>
    <s v="CUST0452"/>
    <s v="Mary Fletcher"/>
    <x v="1"/>
    <n v="67"/>
    <x v="3"/>
    <x v="3"/>
    <x v="3"/>
    <n v="75204"/>
    <x v="2"/>
    <x v="2"/>
    <d v="2024-04-30T00:00:00"/>
    <n v="1"/>
    <x v="3"/>
    <x v="5"/>
  </r>
  <r>
    <s v="CUST0453"/>
    <s v="Renee Williams"/>
    <x v="1"/>
    <n v="62"/>
    <x v="3"/>
    <x v="3"/>
    <x v="2"/>
    <n v="35563"/>
    <x v="2"/>
    <x v="0"/>
    <d v="2019-07-23T00:00:00"/>
    <n v="6"/>
    <x v="1"/>
    <x v="6"/>
  </r>
  <r>
    <s v="CUST0454"/>
    <s v="Ashley Young"/>
    <x v="1"/>
    <n v="22"/>
    <x v="2"/>
    <x v="3"/>
    <x v="1"/>
    <n v="112324"/>
    <x v="1"/>
    <x v="0"/>
    <d v="2017-12-05T00:00:00"/>
    <n v="8"/>
    <x v="2"/>
    <x v="4"/>
  </r>
  <r>
    <s v="CUST0455"/>
    <s v="Ralph Johnson"/>
    <x v="0"/>
    <n v="72"/>
    <x v="3"/>
    <x v="0"/>
    <x v="4"/>
    <n v="29847"/>
    <x v="2"/>
    <x v="1"/>
    <d v="2021-12-27T00:00:00"/>
    <n v="4"/>
    <x v="1"/>
    <x v="1"/>
  </r>
  <r>
    <s v="CUST0456"/>
    <s v="Michael Kramer"/>
    <x v="0"/>
    <n v="73"/>
    <x v="3"/>
    <x v="1"/>
    <x v="2"/>
    <n v="46155"/>
    <x v="2"/>
    <x v="0"/>
    <d v="2016-01-17T00:00:00"/>
    <n v="10"/>
    <x v="2"/>
    <x v="3"/>
  </r>
  <r>
    <s v="CUST0457"/>
    <s v="Edward Bell"/>
    <x v="1"/>
    <n v="50"/>
    <x v="1"/>
    <x v="3"/>
    <x v="6"/>
    <n v="99671"/>
    <x v="2"/>
    <x v="0"/>
    <d v="2016-02-16T00:00:00"/>
    <n v="10"/>
    <x v="2"/>
    <x v="3"/>
  </r>
  <r>
    <s v="CUST0458"/>
    <s v="Steven Beltran"/>
    <x v="1"/>
    <n v="71"/>
    <x v="3"/>
    <x v="0"/>
    <x v="0"/>
    <n v="136891"/>
    <x v="1"/>
    <x v="1"/>
    <d v="2024-06-26T00:00:00"/>
    <n v="1"/>
    <x v="3"/>
    <x v="5"/>
  </r>
  <r>
    <s v="CUST0459"/>
    <s v="Raymond Holmes"/>
    <x v="0"/>
    <n v="18"/>
    <x v="2"/>
    <x v="3"/>
    <x v="2"/>
    <n v="103310"/>
    <x v="1"/>
    <x v="1"/>
    <d v="2020-01-19T00:00:00"/>
    <n v="6"/>
    <x v="1"/>
    <x v="9"/>
  </r>
  <r>
    <s v="CUST0460"/>
    <s v="Katherine Cohen"/>
    <x v="0"/>
    <n v="35"/>
    <x v="0"/>
    <x v="3"/>
    <x v="2"/>
    <n v="169381"/>
    <x v="0"/>
    <x v="0"/>
    <d v="2021-06-10T00:00:00"/>
    <n v="4"/>
    <x v="1"/>
    <x v="1"/>
  </r>
  <r>
    <s v="CUST0461"/>
    <s v="Tiffany Lam"/>
    <x v="1"/>
    <n v="49"/>
    <x v="1"/>
    <x v="0"/>
    <x v="4"/>
    <n v="151691"/>
    <x v="0"/>
    <x v="0"/>
    <d v="2018-10-28T00:00:00"/>
    <n v="7"/>
    <x v="1"/>
    <x v="2"/>
  </r>
  <r>
    <s v="CUST0462"/>
    <s v="Lisa Strickland"/>
    <x v="0"/>
    <n v="64"/>
    <x v="3"/>
    <x v="1"/>
    <x v="0"/>
    <n v="54707"/>
    <x v="2"/>
    <x v="1"/>
    <d v="2019-09-18T00:00:00"/>
    <n v="6"/>
    <x v="1"/>
    <x v="6"/>
  </r>
  <r>
    <s v="CUST0463"/>
    <s v="Dr. Heather White"/>
    <x v="1"/>
    <n v="66"/>
    <x v="3"/>
    <x v="1"/>
    <x v="6"/>
    <n v="171409"/>
    <x v="0"/>
    <x v="0"/>
    <d v="2024-07-11T00:00:00"/>
    <n v="1"/>
    <x v="3"/>
    <x v="5"/>
  </r>
  <r>
    <s v="CUST0464"/>
    <s v="Diane Nelson"/>
    <x v="0"/>
    <n v="28"/>
    <x v="2"/>
    <x v="2"/>
    <x v="3"/>
    <n v="101537"/>
    <x v="1"/>
    <x v="0"/>
    <d v="2017-10-20T00:00:00"/>
    <n v="8"/>
    <x v="2"/>
    <x v="4"/>
  </r>
  <r>
    <s v="CUST0465"/>
    <s v="Janet Ray"/>
    <x v="1"/>
    <n v="38"/>
    <x v="0"/>
    <x v="0"/>
    <x v="3"/>
    <n v="198686"/>
    <x v="0"/>
    <x v="1"/>
    <d v="2025-05-24T00:00:00"/>
    <n v="0"/>
    <x v="3"/>
    <x v="7"/>
  </r>
  <r>
    <s v="CUST0466"/>
    <s v="Tammy Taylor"/>
    <x v="0"/>
    <n v="43"/>
    <x v="0"/>
    <x v="2"/>
    <x v="2"/>
    <n v="111155"/>
    <x v="1"/>
    <x v="0"/>
    <d v="2022-07-03T00:00:00"/>
    <n v="3"/>
    <x v="0"/>
    <x v="8"/>
  </r>
  <r>
    <s v="CUST0467"/>
    <s v="Dr. Christina Erickson"/>
    <x v="1"/>
    <n v="42"/>
    <x v="0"/>
    <x v="2"/>
    <x v="0"/>
    <n v="20281"/>
    <x v="2"/>
    <x v="1"/>
    <d v="2021-10-29T00:00:00"/>
    <n v="4"/>
    <x v="1"/>
    <x v="1"/>
  </r>
  <r>
    <s v="CUST0468"/>
    <s v="Matthew Kane"/>
    <x v="0"/>
    <n v="39"/>
    <x v="0"/>
    <x v="2"/>
    <x v="0"/>
    <n v="178492"/>
    <x v="0"/>
    <x v="0"/>
    <d v="2024-01-28T00:00:00"/>
    <n v="2"/>
    <x v="0"/>
    <x v="5"/>
  </r>
  <r>
    <s v="CUST0469"/>
    <s v="Michael Davies"/>
    <x v="0"/>
    <n v="44"/>
    <x v="0"/>
    <x v="1"/>
    <x v="6"/>
    <n v="190102"/>
    <x v="0"/>
    <x v="2"/>
    <d v="2017-08-07T00:00:00"/>
    <n v="8"/>
    <x v="2"/>
    <x v="4"/>
  </r>
  <r>
    <s v="CUST0470"/>
    <s v="Jason Garcia"/>
    <x v="1"/>
    <n v="66"/>
    <x v="3"/>
    <x v="0"/>
    <x v="4"/>
    <n v="152130"/>
    <x v="0"/>
    <x v="0"/>
    <d v="2021-05-29T00:00:00"/>
    <n v="4"/>
    <x v="1"/>
    <x v="1"/>
  </r>
  <r>
    <s v="CUST0471"/>
    <s v="Roger Johnson"/>
    <x v="0"/>
    <n v="30"/>
    <x v="0"/>
    <x v="2"/>
    <x v="1"/>
    <n v="96260"/>
    <x v="2"/>
    <x v="0"/>
    <d v="2025-01-07T00:00:00"/>
    <n v="1"/>
    <x v="3"/>
    <x v="7"/>
  </r>
  <r>
    <s v="CUST0472"/>
    <s v="Anna Mitchell"/>
    <x v="1"/>
    <n v="50"/>
    <x v="1"/>
    <x v="0"/>
    <x v="3"/>
    <n v="179476"/>
    <x v="0"/>
    <x v="0"/>
    <d v="2018-09-26T00:00:00"/>
    <n v="7"/>
    <x v="1"/>
    <x v="2"/>
  </r>
  <r>
    <s v="CUST0473"/>
    <s v="Tina Lowery"/>
    <x v="0"/>
    <n v="51"/>
    <x v="1"/>
    <x v="0"/>
    <x v="4"/>
    <n v="180928"/>
    <x v="0"/>
    <x v="0"/>
    <d v="2020-09-09T00:00:00"/>
    <n v="5"/>
    <x v="1"/>
    <x v="9"/>
  </r>
  <r>
    <s v="CUST0474"/>
    <s v="Gregory Bauer"/>
    <x v="1"/>
    <n v="58"/>
    <x v="1"/>
    <x v="1"/>
    <x v="5"/>
    <n v="160272"/>
    <x v="0"/>
    <x v="1"/>
    <d v="2019-09-11T00:00:00"/>
    <n v="6"/>
    <x v="1"/>
    <x v="6"/>
  </r>
  <r>
    <s v="CUST0475"/>
    <s v="Frank Le"/>
    <x v="0"/>
    <n v="52"/>
    <x v="1"/>
    <x v="2"/>
    <x v="3"/>
    <n v="84178"/>
    <x v="2"/>
    <x v="2"/>
    <d v="2020-10-19T00:00:00"/>
    <n v="5"/>
    <x v="1"/>
    <x v="9"/>
  </r>
  <r>
    <s v="CUST0476"/>
    <s v="William Brown"/>
    <x v="1"/>
    <n v="18"/>
    <x v="2"/>
    <x v="2"/>
    <x v="4"/>
    <n v="53997"/>
    <x v="2"/>
    <x v="0"/>
    <d v="2019-01-23T00:00:00"/>
    <n v="7"/>
    <x v="1"/>
    <x v="6"/>
  </r>
  <r>
    <s v="CUST0477"/>
    <s v="Deborah King"/>
    <x v="0"/>
    <n v="38"/>
    <x v="0"/>
    <x v="0"/>
    <x v="3"/>
    <n v="176683"/>
    <x v="0"/>
    <x v="0"/>
    <d v="2015-11-17T00:00:00"/>
    <n v="10"/>
    <x v="2"/>
    <x v="10"/>
  </r>
  <r>
    <s v="CUST0478"/>
    <s v="Louis Palmer"/>
    <x v="1"/>
    <n v="65"/>
    <x v="3"/>
    <x v="3"/>
    <x v="1"/>
    <n v="139273"/>
    <x v="1"/>
    <x v="1"/>
    <d v="2016-08-20T00:00:00"/>
    <n v="9"/>
    <x v="2"/>
    <x v="3"/>
  </r>
  <r>
    <s v="CUST0479"/>
    <s v="David Watson"/>
    <x v="0"/>
    <n v="72"/>
    <x v="3"/>
    <x v="1"/>
    <x v="5"/>
    <n v="192307"/>
    <x v="0"/>
    <x v="1"/>
    <d v="2020-10-04T00:00:00"/>
    <n v="5"/>
    <x v="1"/>
    <x v="9"/>
  </r>
  <r>
    <s v="CUST0480"/>
    <s v="Lisa Crawford"/>
    <x v="1"/>
    <n v="23"/>
    <x v="2"/>
    <x v="1"/>
    <x v="1"/>
    <n v="186129"/>
    <x v="0"/>
    <x v="0"/>
    <d v="2024-07-03T00:00:00"/>
    <n v="1"/>
    <x v="3"/>
    <x v="5"/>
  </r>
  <r>
    <s v="CUST0481"/>
    <s v="Carolyn Evans"/>
    <x v="1"/>
    <n v="45"/>
    <x v="1"/>
    <x v="1"/>
    <x v="6"/>
    <n v="152311"/>
    <x v="0"/>
    <x v="0"/>
    <d v="2016-02-11T00:00:00"/>
    <n v="10"/>
    <x v="2"/>
    <x v="3"/>
  </r>
  <r>
    <s v="CUST0482"/>
    <s v="Thomas Johnson"/>
    <x v="1"/>
    <n v="34"/>
    <x v="0"/>
    <x v="1"/>
    <x v="5"/>
    <n v="146945"/>
    <x v="1"/>
    <x v="0"/>
    <d v="2019-03-29T00:00:00"/>
    <n v="7"/>
    <x v="1"/>
    <x v="6"/>
  </r>
  <r>
    <s v="CUST0483"/>
    <s v="Rita Leonard"/>
    <x v="0"/>
    <n v="22"/>
    <x v="2"/>
    <x v="2"/>
    <x v="2"/>
    <n v="65272"/>
    <x v="2"/>
    <x v="1"/>
    <d v="2024-08-08T00:00:00"/>
    <n v="1"/>
    <x v="3"/>
    <x v="5"/>
  </r>
  <r>
    <s v="CUST0484"/>
    <s v="John Madden"/>
    <x v="1"/>
    <n v="48"/>
    <x v="1"/>
    <x v="2"/>
    <x v="4"/>
    <n v="109393"/>
    <x v="1"/>
    <x v="0"/>
    <d v="2023-06-10T00:00:00"/>
    <n v="2"/>
    <x v="0"/>
    <x v="0"/>
  </r>
  <r>
    <s v="CUST0485"/>
    <s v="Christopher Hart"/>
    <x v="0"/>
    <n v="22"/>
    <x v="2"/>
    <x v="3"/>
    <x v="5"/>
    <n v="81212"/>
    <x v="2"/>
    <x v="1"/>
    <d v="2018-09-03T00:00:00"/>
    <n v="7"/>
    <x v="1"/>
    <x v="2"/>
  </r>
  <r>
    <s v="CUST0486"/>
    <s v="Ronald Craig"/>
    <x v="1"/>
    <n v="55"/>
    <x v="1"/>
    <x v="1"/>
    <x v="6"/>
    <n v="166470"/>
    <x v="0"/>
    <x v="0"/>
    <d v="2024-11-25T00:00:00"/>
    <n v="1"/>
    <x v="3"/>
    <x v="5"/>
  </r>
  <r>
    <s v="CUST0487"/>
    <s v="Christina Young"/>
    <x v="0"/>
    <n v="20"/>
    <x v="2"/>
    <x v="1"/>
    <x v="6"/>
    <n v="140030"/>
    <x v="1"/>
    <x v="1"/>
    <d v="2023-02-18T00:00:00"/>
    <n v="3"/>
    <x v="0"/>
    <x v="0"/>
  </r>
  <r>
    <s v="CUST0488"/>
    <s v="Brendan Daniels"/>
    <x v="1"/>
    <n v="70"/>
    <x v="3"/>
    <x v="0"/>
    <x v="1"/>
    <n v="76503"/>
    <x v="2"/>
    <x v="0"/>
    <d v="2025-01-24T00:00:00"/>
    <n v="1"/>
    <x v="3"/>
    <x v="7"/>
  </r>
  <r>
    <s v="CUST0489"/>
    <s v="Monica Carter"/>
    <x v="0"/>
    <n v="40"/>
    <x v="0"/>
    <x v="2"/>
    <x v="3"/>
    <n v="157710"/>
    <x v="0"/>
    <x v="0"/>
    <d v="2023-06-27T00:00:00"/>
    <n v="2"/>
    <x v="0"/>
    <x v="0"/>
  </r>
  <r>
    <s v="CUST0490"/>
    <s v="Eric Wilson"/>
    <x v="0"/>
    <n v="54"/>
    <x v="1"/>
    <x v="1"/>
    <x v="5"/>
    <n v="26570"/>
    <x v="2"/>
    <x v="0"/>
    <d v="2022-08-27T00:00:00"/>
    <n v="3"/>
    <x v="0"/>
    <x v="8"/>
  </r>
  <r>
    <s v="CUST0491"/>
    <s v="Gail Bates"/>
    <x v="1"/>
    <n v="70"/>
    <x v="3"/>
    <x v="3"/>
    <x v="4"/>
    <n v="88785"/>
    <x v="2"/>
    <x v="1"/>
    <d v="2022-08-05T00:00:00"/>
    <n v="3"/>
    <x v="0"/>
    <x v="8"/>
  </r>
  <r>
    <s v="CUST0492"/>
    <s v="Michelle Allen"/>
    <x v="0"/>
    <n v="54"/>
    <x v="1"/>
    <x v="3"/>
    <x v="5"/>
    <n v="29110"/>
    <x v="2"/>
    <x v="0"/>
    <d v="2022-10-25T00:00:00"/>
    <n v="3"/>
    <x v="0"/>
    <x v="8"/>
  </r>
  <r>
    <s v="CUST0493"/>
    <s v="Joseph Dean"/>
    <x v="0"/>
    <n v="27"/>
    <x v="2"/>
    <x v="2"/>
    <x v="0"/>
    <n v="99141"/>
    <x v="2"/>
    <x v="0"/>
    <d v="2024-04-11T00:00:00"/>
    <n v="2"/>
    <x v="0"/>
    <x v="5"/>
  </r>
  <r>
    <s v="CUST0494"/>
    <s v="Hector May"/>
    <x v="1"/>
    <n v="27"/>
    <x v="2"/>
    <x v="3"/>
    <x v="3"/>
    <n v="32115"/>
    <x v="2"/>
    <x v="0"/>
    <d v="2021-03-12T00:00:00"/>
    <n v="5"/>
    <x v="1"/>
    <x v="1"/>
  </r>
  <r>
    <s v="CUST0495"/>
    <s v="Janet Wells"/>
    <x v="0"/>
    <n v="36"/>
    <x v="0"/>
    <x v="3"/>
    <x v="4"/>
    <n v="59062"/>
    <x v="2"/>
    <x v="0"/>
    <d v="2022-01-24T00:00:00"/>
    <n v="4"/>
    <x v="1"/>
    <x v="8"/>
  </r>
  <r>
    <s v="CUST0496"/>
    <s v="Morgan Anderson"/>
    <x v="0"/>
    <n v="34"/>
    <x v="0"/>
    <x v="2"/>
    <x v="4"/>
    <n v="42911"/>
    <x v="2"/>
    <x v="1"/>
    <d v="2017-07-04T00:00:00"/>
    <n v="8"/>
    <x v="2"/>
    <x v="4"/>
  </r>
  <r>
    <s v="CUST0497"/>
    <s v="Vincent Gray"/>
    <x v="0"/>
    <n v="38"/>
    <x v="0"/>
    <x v="1"/>
    <x v="2"/>
    <n v="124061"/>
    <x v="1"/>
    <x v="1"/>
    <d v="2024-06-08T00:00:00"/>
    <n v="1"/>
    <x v="3"/>
    <x v="5"/>
  </r>
  <r>
    <s v="CUST0498"/>
    <s v="Yolanda Olson PhD"/>
    <x v="1"/>
    <n v="31"/>
    <x v="0"/>
    <x v="1"/>
    <x v="1"/>
    <n v="52556"/>
    <x v="2"/>
    <x v="1"/>
    <d v="2016-07-10T00:00:00"/>
    <n v="9"/>
    <x v="2"/>
    <x v="3"/>
  </r>
  <r>
    <s v="CUST0499"/>
    <s v="Kayla Kelley"/>
    <x v="0"/>
    <n v="26"/>
    <x v="2"/>
    <x v="3"/>
    <x v="2"/>
    <n v="148335"/>
    <x v="1"/>
    <x v="0"/>
    <d v="2024-05-31T00:00:00"/>
    <n v="1"/>
    <x v="3"/>
    <x v="5"/>
  </r>
  <r>
    <s v="CUST0500"/>
    <s v="Olivia Barton"/>
    <x v="1"/>
    <n v="63"/>
    <x v="3"/>
    <x v="3"/>
    <x v="4"/>
    <n v="21969"/>
    <x v="2"/>
    <x v="1"/>
    <d v="2024-07-15T00:00:00"/>
    <n v="1"/>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2C7725-2C7C-466F-9E11-23FCC4AC83A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11:G15" firstHeaderRow="1" firstDataRow="1" firstDataCol="1"/>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axis="axisRow" showAll="0">
      <items count="5">
        <item x="0"/>
        <item x="2"/>
        <item x="1"/>
        <item x="3"/>
        <item t="default"/>
      </items>
    </pivotField>
    <pivotField showAll="0"/>
  </pivotFields>
  <rowFields count="1">
    <field x="12"/>
  </rowFields>
  <rowItems count="4">
    <i>
      <x/>
    </i>
    <i>
      <x v="1"/>
    </i>
    <i>
      <x v="2"/>
    </i>
    <i>
      <x v="3"/>
    </i>
  </rowItems>
  <colItems count="1">
    <i/>
  </colItems>
  <dataFields count="1">
    <dataField name="Count of CustomerID" fld="0" subtotal="count" showDataAs="percentOfTotal" baseField="0" baseItem="0" numFmtId="10"/>
  </dataFields>
  <formats count="3">
    <format dxfId="2">
      <pivotArea outline="0" collapsedLevelsAreSubtotals="1" fieldPosition="0"/>
    </format>
    <format dxfId="1">
      <pivotArea outline="0" collapsedLevelsAreSubtotals="1" fieldPosition="0"/>
    </format>
    <format dxfId="0">
      <pivotArea outline="0" fieldPosition="0">
        <references count="1">
          <reference field="4294967294" count="1">
            <x v="0"/>
          </reference>
        </references>
      </pivotArea>
    </format>
  </format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0"/>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2"/>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3618A7-8768-40DF-85E0-7D49C25EBF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dataField="1" showAll="0"/>
    <pivotField showAll="0"/>
    <pivotField showAll="0"/>
  </pivotFields>
  <rowItems count="1">
    <i/>
  </rowItems>
  <colItems count="1">
    <i/>
  </colItems>
  <dataFields count="1">
    <dataField name="Average of Tenure" fld="11" subtotal="average" baseField="0" baseItem="0" numFmtId="1"/>
  </dataFields>
  <formats count="2">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4777AA-66EA-4243-8D22-26EB186CB3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H8" firstHeaderRow="1" firstDataRow="1" firstDataCol="0"/>
  <pivotFields count="14">
    <pivotField showAll="0"/>
    <pivotField showAll="0"/>
    <pivotField showAll="0"/>
    <pivotField dataField="1"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Age" fld="3" subtotal="average" baseField="0" baseItem="0" numFmtId="1"/>
  </dataFields>
  <formats count="2">
    <format dxfId="6">
      <pivotArea outline="0" collapsedLevelsAreSubtotals="1"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3E6D7E-64A7-4B0F-B292-E9F5FEC018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Count of CustomerID" fld="0" subtotal="count"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808813-D2DB-42ED-81E8-D29B33AE34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dataField="1"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Income" fld="7" subtotal="average" baseField="0" baseItem="0" numFmtId="164"/>
  </dataFields>
  <formats count="2">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C3880A-BDC0-4211-A957-CA1CE30692E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19:H23" firstHeaderRow="1" firstDataRow="2" firstDataCol="1"/>
  <pivotFields count="14">
    <pivotField dataField="1" showAll="0"/>
    <pivotField showAll="0"/>
    <pivotField axis="axisCol" showAll="0">
      <items count="3">
        <item x="1"/>
        <item x="0"/>
        <item t="default"/>
      </items>
    </pivotField>
    <pivotField showAll="0"/>
    <pivotField showAll="0"/>
    <pivotField showAll="0">
      <items count="5">
        <item x="1"/>
        <item x="0"/>
        <item x="3"/>
        <item x="2"/>
        <item t="default"/>
      </items>
    </pivotField>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2" count="1" selected="0">
              <x v="1"/>
            </reference>
          </references>
        </pivotArea>
      </autoSortScope>
    </pivotField>
    <pivotField showAll="0">
      <items count="4">
        <item x="1"/>
        <item x="2"/>
        <item x="0"/>
        <item t="default"/>
      </items>
    </pivotField>
    <pivotField numFmtId="14" showAll="0"/>
    <pivotField showAll="0"/>
    <pivotField showAll="0"/>
    <pivotField showAll="0"/>
  </pivotFields>
  <rowFields count="1">
    <field x="8"/>
  </rowFields>
  <rowItems count="3">
    <i>
      <x v="2"/>
    </i>
    <i>
      <x/>
    </i>
    <i>
      <x v="1"/>
    </i>
  </rowItems>
  <colFields count="1">
    <field x="2"/>
  </colFields>
  <colItems count="2">
    <i>
      <x/>
    </i>
    <i>
      <x v="1"/>
    </i>
  </colItems>
  <dataFields count="1">
    <dataField name="Count of CustomerID" fld="0" subtotal="count" baseField="0" baseItem="0"/>
  </dataFields>
  <formats count="3">
    <format dxfId="12">
      <pivotArea outline="0" collapsedLevelsAreSubtotals="1" fieldPosition="0"/>
    </format>
    <format dxfId="11">
      <pivotArea outline="0" collapsedLevelsAreSubtotals="1" fieldPosition="0"/>
    </format>
    <format dxfId="10">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6FF0E9-37E3-4B61-B9B4-E2D73B4C358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17:D22" firstHeaderRow="1" firstDataRow="2" firstDataCol="1"/>
  <pivotFields count="14">
    <pivotField dataField="1" showAll="0"/>
    <pivotField showAll="0"/>
    <pivotField axis="axisCol" showAll="0">
      <items count="3">
        <item x="1"/>
        <item x="0"/>
        <item t="default"/>
      </items>
    </pivotField>
    <pivotField showAll="0"/>
    <pivotField axis="axisRow" showAll="0">
      <items count="5">
        <item x="3"/>
        <item x="1"/>
        <item x="2"/>
        <item x="0"/>
        <item t="default"/>
      </items>
    </pivotField>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Fields count="1">
    <field x="4"/>
  </rowFields>
  <rowItems count="4">
    <i>
      <x/>
    </i>
    <i>
      <x v="1"/>
    </i>
    <i>
      <x v="2"/>
    </i>
    <i>
      <x v="3"/>
    </i>
  </rowItems>
  <colFields count="1">
    <field x="2"/>
  </colFields>
  <colItems count="2">
    <i>
      <x/>
    </i>
    <i>
      <x v="1"/>
    </i>
  </colItems>
  <dataFields count="1">
    <dataField name="Count of CustomerID" fld="0" subtotal="count" baseField="0" baseItem="0"/>
  </dataFields>
  <formats count="3">
    <format dxfId="15">
      <pivotArea outline="0" collapsedLevelsAreSubtotals="1" fieldPosition="0"/>
    </format>
    <format dxfId="14">
      <pivotArea outline="0" collapsedLevelsAreSubtotals="1" fieldPosition="0"/>
    </format>
    <format dxfId="13">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A81645-C2E9-4F10-B4A5-C4D1C03F78F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6:D34" firstHeaderRow="1" firstDataRow="2" firstDataCol="1"/>
  <pivotFields count="14">
    <pivotField dataField="1" showAll="0"/>
    <pivotField showAll="0"/>
    <pivotField axis="axisCol" showAll="0">
      <items count="3">
        <item x="1"/>
        <item x="0"/>
        <item t="default"/>
      </items>
    </pivotField>
    <pivotField showAll="0"/>
    <pivotField showAll="0"/>
    <pivotField showAll="0">
      <items count="5">
        <item x="1"/>
        <item x="0"/>
        <item x="3"/>
        <item x="2"/>
        <item t="default"/>
      </items>
    </pivotField>
    <pivotField axis="axisRow" showAll="0">
      <items count="8">
        <item x="3"/>
        <item x="0"/>
        <item x="5"/>
        <item x="6"/>
        <item x="4"/>
        <item x="2"/>
        <item x="1"/>
        <item t="default"/>
      </items>
    </pivotField>
    <pivotField showAll="0"/>
    <pivotField showAll="0"/>
    <pivotField showAll="0">
      <items count="4">
        <item x="1"/>
        <item x="2"/>
        <item x="0"/>
        <item t="default"/>
      </items>
    </pivotField>
    <pivotField numFmtId="14" showAll="0"/>
    <pivotField showAll="0"/>
    <pivotField showAll="0"/>
    <pivotField showAll="0"/>
  </pivotFields>
  <rowFields count="1">
    <field x="6"/>
  </rowFields>
  <rowItems count="7">
    <i>
      <x/>
    </i>
    <i>
      <x v="1"/>
    </i>
    <i>
      <x v="2"/>
    </i>
    <i>
      <x v="3"/>
    </i>
    <i>
      <x v="4"/>
    </i>
    <i>
      <x v="5"/>
    </i>
    <i>
      <x v="6"/>
    </i>
  </rowItems>
  <colFields count="1">
    <field x="2"/>
  </colFields>
  <colItems count="2">
    <i>
      <x/>
    </i>
    <i>
      <x v="1"/>
    </i>
  </colItems>
  <dataFields count="1">
    <dataField name="Count of CustomerID" fld="0" subtotal="count" baseField="0" baseItem="0"/>
  </dataFields>
  <formats count="3">
    <format dxfId="18">
      <pivotArea outline="0" collapsedLevelsAreSubtotals="1" fieldPosition="0"/>
    </format>
    <format dxfId="17">
      <pivotArea outline="0" collapsedLevelsAreSubtotals="1" fieldPosition="0"/>
    </format>
    <format dxfId="16">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F1F215-6C96-4C41-9DCE-804AF14E677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J11:K22" firstHeaderRow="1" firstDataRow="1" firstDataCol="1"/>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formats count="3">
    <format dxfId="21">
      <pivotArea outline="0" collapsedLevelsAreSubtotals="1" fieldPosition="0"/>
    </format>
    <format dxfId="20">
      <pivotArea outline="0" collapsedLevelsAreSubtotals="1" fieldPosition="0"/>
    </format>
    <format dxfId="19">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A8AB2A-7FFA-48F9-91DD-B69FE22795A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1:C13" firstHeaderRow="1" firstDataRow="1" firstDataCol="1"/>
  <pivotFields count="14">
    <pivotField dataField="1" showAll="0"/>
    <pivotField showAll="0"/>
    <pivotField axis="axisRow" showAll="0">
      <items count="3">
        <item x="1"/>
        <item x="0"/>
        <item t="default"/>
      </items>
    </pivotField>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Fields count="1">
    <field x="2"/>
  </rowFields>
  <rowItems count="2">
    <i>
      <x/>
    </i>
    <i>
      <x v="1"/>
    </i>
  </rowItems>
  <colItems count="1">
    <i/>
  </colItems>
  <dataFields count="1">
    <dataField name="Count of CustomerID" fld="0" subtotal="count" showDataAs="percentOfTotal" baseField="0" baseItem="0" numFmtId="9"/>
  </dataFields>
  <formats count="3">
    <format dxfId="24">
      <pivotArea outline="0" collapsedLevelsAreSubtotals="1" fieldPosition="0"/>
    </format>
    <format dxfId="23">
      <pivotArea outline="0" fieldPosition="0">
        <references count="1">
          <reference field="4294967294" count="1">
            <x v="0"/>
          </reference>
        </references>
      </pivotArea>
    </format>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BA21C8-3DBF-4556-BFC2-BC9D87150855}"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Age" tableColumnId="4"/>
      <queryTableField id="5" name="Age group" tableColumnId="5"/>
      <queryTableField id="6" name="Region" tableColumnId="6"/>
      <queryTableField id="7" name="Occupation" tableColumnId="7"/>
      <queryTableField id="8" name="Income" tableColumnId="8"/>
      <queryTableField id="9" name="Income Bracket" tableColumnId="9"/>
      <queryTableField id="10" name="Customer_Segment" tableColumnId="10"/>
      <queryTableField id="11" name="Join_Date" tableColumnId="11"/>
      <queryTableField id="12" name="Tenure"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D96F85F-0423-414C-B8F7-EDCC854F63C0}" sourceName="Customer_Segment">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09438324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8CD430-2117-4F26-8954-1F041CC83980}" sourceName="Region">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094383240">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EB89B948-B88F-44AE-99B2-29563A0467B2}" cache="Slicer_Customer_Segment" caption="Customer_Segment" columnCount="3" showCaption="0" style="Slicer Style 1" rowHeight="182880"/>
  <slicer name="Region" xr10:uid="{AAD9F21C-5BEC-4916-AFD8-10ADDE499580}" cache="Slicer_Region" caption="Region" columnCount="4" showCaption="0" style="Slicer Style 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5E8C42-E712-43B6-9F56-CD476C287F6A}" name="customers" displayName="customers" ref="A1:N501" tableType="queryTable" totalsRowShown="0">
  <autoFilter ref="A1:N501" xr:uid="{145E8C42-E712-43B6-9F56-CD476C287F6A}"/>
  <tableColumns count="14">
    <tableColumn id="1" xr3:uid="{21B06C1E-746C-409C-B877-FDB74480BDA1}" uniqueName="1" name="CustomerID" queryTableFieldId="1" dataDxfId="31"/>
    <tableColumn id="2" xr3:uid="{73D6599E-5768-4CC9-9728-EBCE316C9324}" uniqueName="2" name="Name" queryTableFieldId="2" dataDxfId="30"/>
    <tableColumn id="3" xr3:uid="{1EFFD365-95F7-429E-9CC5-B2B043D41760}" uniqueName="3" name="Gender" queryTableFieldId="3" dataDxfId="29"/>
    <tableColumn id="4" xr3:uid="{AD76297F-2D9C-44A1-980E-5C693A309415}" uniqueName="4" name="Age" queryTableFieldId="4"/>
    <tableColumn id="5" xr3:uid="{E63D66C4-A96E-475C-80EB-0283DEFF6852}" uniqueName="5" name="Age group" queryTableFieldId="5"/>
    <tableColumn id="6" xr3:uid="{C72FF496-BFBE-46A1-A970-797A55534880}" uniqueName="6" name="Region" queryTableFieldId="6" dataDxfId="28"/>
    <tableColumn id="7" xr3:uid="{5C9E21EC-0FFB-4CB4-9FE7-3D5989E00E6A}" uniqueName="7" name="Occupation" queryTableFieldId="7" dataDxfId="27"/>
    <tableColumn id="8" xr3:uid="{C66E4757-6740-46FB-964E-7258B88AFA46}" uniqueName="8" name="Income" queryTableFieldId="8"/>
    <tableColumn id="9" xr3:uid="{FA977129-B9FA-405D-B9E8-EFEE570C3A17}" uniqueName="9" name="Income Bracket" queryTableFieldId="9"/>
    <tableColumn id="10" xr3:uid="{43FAD163-4777-47FD-A0BE-0DCF4FFD02F1}" uniqueName="10" name="Customer_Segment" queryTableFieldId="10" dataDxfId="26"/>
    <tableColumn id="11" xr3:uid="{E31E97B3-8D7E-421D-BAAD-C67E0808F634}" uniqueName="11" name="Join_Date" queryTableFieldId="11" dataDxfId="25"/>
    <tableColumn id="12" xr3:uid="{546D977B-E1D0-4877-8C16-E59D0E2EBFFB}" uniqueName="12" name="Tenure" queryTableFieldId="12"/>
    <tableColumn id="13" xr3:uid="{E4B4F349-6A77-4514-A7C1-8531CCD61B58}" uniqueName="13" name="Tenure Group" queryTableFieldId="13"/>
    <tableColumn id="14" xr3:uid="{393ADB17-0917-47AC-80C0-A441BC8AFC13}" uniqueName="14" name="Year"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E9CE-C88F-4296-9994-56AF64300F8F}">
  <dimension ref="A1:N501"/>
  <sheetViews>
    <sheetView workbookViewId="0">
      <selection activeCell="C12" sqref="C12"/>
    </sheetView>
  </sheetViews>
  <sheetFormatPr defaultRowHeight="14.4" x14ac:dyDescent="0.3"/>
  <cols>
    <col min="1" max="1" width="13.109375" bestFit="1" customWidth="1"/>
    <col min="2" max="2" width="21.44140625" bestFit="1" customWidth="1"/>
    <col min="3" max="3" width="9.33203125" bestFit="1" customWidth="1"/>
    <col min="4" max="4" width="6.21875" bestFit="1" customWidth="1"/>
    <col min="5" max="5" width="11.21875" bestFit="1" customWidth="1"/>
    <col min="6" max="6" width="8.77734375" bestFit="1" customWidth="1"/>
    <col min="7" max="7" width="12.88671875" bestFit="1" customWidth="1"/>
    <col min="8" max="8" width="9.44140625" bestFit="1" customWidth="1"/>
    <col min="9" max="9" width="16.33203125" bestFit="1" customWidth="1"/>
    <col min="10" max="10" width="19.6640625" bestFit="1" customWidth="1"/>
    <col min="11" max="11" width="11.109375" bestFit="1" customWidth="1"/>
    <col min="12" max="12" width="8.77734375" bestFit="1" customWidth="1"/>
    <col min="13" max="13" width="14.21875" bestFit="1" customWidth="1"/>
    <col min="14" max="14" width="6.88671875" bestFit="1" customWidth="1"/>
  </cols>
  <sheetData>
    <row r="1" spans="1:14" x14ac:dyDescent="0.3">
      <c r="A1" t="s">
        <v>0</v>
      </c>
      <c r="B1" t="s">
        <v>1</v>
      </c>
      <c r="C1" t="s">
        <v>2</v>
      </c>
      <c r="D1" t="s">
        <v>3</v>
      </c>
      <c r="E1" t="s">
        <v>4</v>
      </c>
      <c r="F1" t="s">
        <v>5</v>
      </c>
      <c r="G1" t="s">
        <v>6</v>
      </c>
      <c r="H1" t="s">
        <v>7</v>
      </c>
      <c r="I1" t="s">
        <v>8</v>
      </c>
      <c r="J1" t="s">
        <v>9</v>
      </c>
      <c r="K1" t="s">
        <v>10</v>
      </c>
      <c r="L1" t="s">
        <v>1033</v>
      </c>
      <c r="M1" t="s">
        <v>1034</v>
      </c>
      <c r="N1" t="s">
        <v>1049</v>
      </c>
    </row>
    <row r="2" spans="1:14" x14ac:dyDescent="0.3">
      <c r="A2" t="s">
        <v>11</v>
      </c>
      <c r="B2" t="s">
        <v>12</v>
      </c>
      <c r="C2" t="s">
        <v>13</v>
      </c>
      <c r="D2">
        <v>38</v>
      </c>
      <c r="E2" t="s">
        <v>14</v>
      </c>
      <c r="F2" t="s">
        <v>15</v>
      </c>
      <c r="G2" t="s">
        <v>16</v>
      </c>
      <c r="H2">
        <v>191672</v>
      </c>
      <c r="I2" t="s">
        <v>17</v>
      </c>
      <c r="J2" t="s">
        <v>18</v>
      </c>
      <c r="K2" s="1">
        <v>45041</v>
      </c>
      <c r="L2">
        <v>2</v>
      </c>
      <c r="M2" t="s">
        <v>1035</v>
      </c>
      <c r="N2">
        <v>2023</v>
      </c>
    </row>
    <row r="3" spans="1:14" x14ac:dyDescent="0.3">
      <c r="A3" t="s">
        <v>19</v>
      </c>
      <c r="B3" t="s">
        <v>20</v>
      </c>
      <c r="C3" t="s">
        <v>21</v>
      </c>
      <c r="D3">
        <v>49</v>
      </c>
      <c r="E3" t="s">
        <v>22</v>
      </c>
      <c r="F3" t="s">
        <v>23</v>
      </c>
      <c r="G3" t="s">
        <v>24</v>
      </c>
      <c r="H3">
        <v>186472</v>
      </c>
      <c r="I3" t="s">
        <v>17</v>
      </c>
      <c r="J3" t="s">
        <v>25</v>
      </c>
      <c r="K3" s="1">
        <v>44331</v>
      </c>
      <c r="L3">
        <v>4</v>
      </c>
      <c r="M3" t="s">
        <v>1036</v>
      </c>
      <c r="N3">
        <v>2021</v>
      </c>
    </row>
    <row r="4" spans="1:14" x14ac:dyDescent="0.3">
      <c r="A4" t="s">
        <v>26</v>
      </c>
      <c r="B4" t="s">
        <v>27</v>
      </c>
      <c r="C4" t="s">
        <v>13</v>
      </c>
      <c r="D4">
        <v>40</v>
      </c>
      <c r="E4" t="s">
        <v>14</v>
      </c>
      <c r="F4" t="s">
        <v>15</v>
      </c>
      <c r="G4" t="s">
        <v>28</v>
      </c>
      <c r="H4">
        <v>155566</v>
      </c>
      <c r="I4" t="s">
        <v>17</v>
      </c>
      <c r="J4" t="s">
        <v>29</v>
      </c>
      <c r="K4" s="1">
        <v>43438</v>
      </c>
      <c r="L4">
        <v>7</v>
      </c>
      <c r="M4" t="s">
        <v>1036</v>
      </c>
      <c r="N4">
        <v>2018</v>
      </c>
    </row>
    <row r="5" spans="1:14" x14ac:dyDescent="0.3">
      <c r="A5" t="s">
        <v>30</v>
      </c>
      <c r="B5" t="s">
        <v>31</v>
      </c>
      <c r="C5" t="s">
        <v>13</v>
      </c>
      <c r="D5">
        <v>50</v>
      </c>
      <c r="E5" t="s">
        <v>22</v>
      </c>
      <c r="F5" t="s">
        <v>15</v>
      </c>
      <c r="G5" t="s">
        <v>32</v>
      </c>
      <c r="H5">
        <v>142744</v>
      </c>
      <c r="I5" t="s">
        <v>33</v>
      </c>
      <c r="J5" t="s">
        <v>18</v>
      </c>
      <c r="K5" s="1">
        <v>44494</v>
      </c>
      <c r="L5">
        <v>4</v>
      </c>
      <c r="M5" t="s">
        <v>1036</v>
      </c>
      <c r="N5">
        <v>2021</v>
      </c>
    </row>
    <row r="6" spans="1:14" x14ac:dyDescent="0.3">
      <c r="A6" t="s">
        <v>34</v>
      </c>
      <c r="B6" t="s">
        <v>35</v>
      </c>
      <c r="C6" t="s">
        <v>13</v>
      </c>
      <c r="D6">
        <v>20</v>
      </c>
      <c r="E6" t="s">
        <v>36</v>
      </c>
      <c r="F6" t="s">
        <v>37</v>
      </c>
      <c r="G6" t="s">
        <v>38</v>
      </c>
      <c r="H6">
        <v>109431</v>
      </c>
      <c r="I6" t="s">
        <v>33</v>
      </c>
      <c r="J6" t="s">
        <v>25</v>
      </c>
      <c r="K6" s="1">
        <v>43309</v>
      </c>
      <c r="L6">
        <v>7</v>
      </c>
      <c r="M6" t="s">
        <v>1036</v>
      </c>
      <c r="N6">
        <v>2018</v>
      </c>
    </row>
    <row r="7" spans="1:14" x14ac:dyDescent="0.3">
      <c r="A7" t="s">
        <v>39</v>
      </c>
      <c r="B7" t="s">
        <v>40</v>
      </c>
      <c r="C7" t="s">
        <v>21</v>
      </c>
      <c r="D7">
        <v>35</v>
      </c>
      <c r="E7" t="s">
        <v>14</v>
      </c>
      <c r="F7" t="s">
        <v>41</v>
      </c>
      <c r="G7" t="s">
        <v>28</v>
      </c>
      <c r="H7">
        <v>63001</v>
      </c>
      <c r="I7" t="s">
        <v>42</v>
      </c>
      <c r="J7" t="s">
        <v>18</v>
      </c>
      <c r="K7" s="1">
        <v>42520</v>
      </c>
      <c r="L7">
        <v>9</v>
      </c>
      <c r="M7" t="s">
        <v>1037</v>
      </c>
      <c r="N7">
        <v>2016</v>
      </c>
    </row>
    <row r="8" spans="1:14" x14ac:dyDescent="0.3">
      <c r="A8" t="s">
        <v>43</v>
      </c>
      <c r="B8" t="s">
        <v>44</v>
      </c>
      <c r="C8" t="s">
        <v>13</v>
      </c>
      <c r="D8">
        <v>42</v>
      </c>
      <c r="E8" t="s">
        <v>14</v>
      </c>
      <c r="F8" t="s">
        <v>15</v>
      </c>
      <c r="G8" t="s">
        <v>45</v>
      </c>
      <c r="H8">
        <v>87364</v>
      </c>
      <c r="I8" t="s">
        <v>42</v>
      </c>
      <c r="J8" t="s">
        <v>25</v>
      </c>
      <c r="K8" s="1">
        <v>43026</v>
      </c>
      <c r="L8">
        <v>8</v>
      </c>
      <c r="M8" t="s">
        <v>1037</v>
      </c>
      <c r="N8">
        <v>2017</v>
      </c>
    </row>
    <row r="9" spans="1:14" x14ac:dyDescent="0.3">
      <c r="A9" t="s">
        <v>46</v>
      </c>
      <c r="B9" t="s">
        <v>47</v>
      </c>
      <c r="C9" t="s">
        <v>13</v>
      </c>
      <c r="D9">
        <v>59</v>
      </c>
      <c r="E9" t="s">
        <v>22</v>
      </c>
      <c r="F9" t="s">
        <v>15</v>
      </c>
      <c r="G9" t="s">
        <v>45</v>
      </c>
      <c r="H9">
        <v>144988</v>
      </c>
      <c r="I9" t="s">
        <v>33</v>
      </c>
      <c r="J9" t="s">
        <v>18</v>
      </c>
      <c r="K9" s="1">
        <v>45448</v>
      </c>
      <c r="L9">
        <v>1</v>
      </c>
      <c r="M9" t="s">
        <v>1038</v>
      </c>
      <c r="N9">
        <v>2024</v>
      </c>
    </row>
    <row r="10" spans="1:14" x14ac:dyDescent="0.3">
      <c r="A10" t="s">
        <v>48</v>
      </c>
      <c r="B10" t="s">
        <v>49</v>
      </c>
      <c r="C10" t="s">
        <v>13</v>
      </c>
      <c r="D10">
        <v>48</v>
      </c>
      <c r="E10" t="s">
        <v>22</v>
      </c>
      <c r="F10" t="s">
        <v>37</v>
      </c>
      <c r="G10" t="s">
        <v>50</v>
      </c>
      <c r="H10">
        <v>65028</v>
      </c>
      <c r="I10" t="s">
        <v>42</v>
      </c>
      <c r="J10" t="s">
        <v>25</v>
      </c>
      <c r="K10" s="1">
        <v>43507</v>
      </c>
      <c r="L10">
        <v>7</v>
      </c>
      <c r="M10" t="s">
        <v>1036</v>
      </c>
      <c r="N10">
        <v>2019</v>
      </c>
    </row>
    <row r="11" spans="1:14" x14ac:dyDescent="0.3">
      <c r="A11" t="s">
        <v>51</v>
      </c>
      <c r="B11" t="s">
        <v>52</v>
      </c>
      <c r="C11" t="s">
        <v>21</v>
      </c>
      <c r="D11">
        <v>71</v>
      </c>
      <c r="E11" t="s">
        <v>53</v>
      </c>
      <c r="F11" t="s">
        <v>37</v>
      </c>
      <c r="G11" t="s">
        <v>24</v>
      </c>
      <c r="H11">
        <v>188645</v>
      </c>
      <c r="I11" t="s">
        <v>17</v>
      </c>
      <c r="J11" t="s">
        <v>25</v>
      </c>
      <c r="K11" s="1">
        <v>42405</v>
      </c>
      <c r="L11">
        <v>10</v>
      </c>
      <c r="M11" t="s">
        <v>1037</v>
      </c>
      <c r="N11">
        <v>2016</v>
      </c>
    </row>
    <row r="12" spans="1:14" x14ac:dyDescent="0.3">
      <c r="A12" t="s">
        <v>54</v>
      </c>
      <c r="B12" t="s">
        <v>55</v>
      </c>
      <c r="C12" t="s">
        <v>13</v>
      </c>
      <c r="D12">
        <v>20</v>
      </c>
      <c r="E12" t="s">
        <v>36</v>
      </c>
      <c r="F12" t="s">
        <v>41</v>
      </c>
      <c r="G12" t="s">
        <v>16</v>
      </c>
      <c r="H12">
        <v>151878</v>
      </c>
      <c r="I12" t="s">
        <v>17</v>
      </c>
      <c r="J12" t="s">
        <v>29</v>
      </c>
      <c r="K12" s="1">
        <v>42781</v>
      </c>
      <c r="L12">
        <v>9</v>
      </c>
      <c r="M12" t="s">
        <v>1037</v>
      </c>
      <c r="N12">
        <v>2017</v>
      </c>
    </row>
    <row r="13" spans="1:14" x14ac:dyDescent="0.3">
      <c r="A13" t="s">
        <v>56</v>
      </c>
      <c r="B13" t="s">
        <v>57</v>
      </c>
      <c r="C13" t="s">
        <v>13</v>
      </c>
      <c r="D13">
        <v>57</v>
      </c>
      <c r="E13" t="s">
        <v>22</v>
      </c>
      <c r="F13" t="s">
        <v>37</v>
      </c>
      <c r="G13" t="s">
        <v>24</v>
      </c>
      <c r="H13">
        <v>144343</v>
      </c>
      <c r="I13" t="s">
        <v>33</v>
      </c>
      <c r="J13" t="s">
        <v>25</v>
      </c>
      <c r="K13" s="1">
        <v>45280</v>
      </c>
      <c r="L13">
        <v>2</v>
      </c>
      <c r="M13" t="s">
        <v>1035</v>
      </c>
      <c r="N13">
        <v>2023</v>
      </c>
    </row>
    <row r="14" spans="1:14" x14ac:dyDescent="0.3">
      <c r="A14" t="s">
        <v>58</v>
      </c>
      <c r="B14" t="s">
        <v>59</v>
      </c>
      <c r="C14" t="s">
        <v>13</v>
      </c>
      <c r="D14">
        <v>63</v>
      </c>
      <c r="E14" t="s">
        <v>53</v>
      </c>
      <c r="F14" t="s">
        <v>23</v>
      </c>
      <c r="G14" t="s">
        <v>24</v>
      </c>
      <c r="H14">
        <v>148301</v>
      </c>
      <c r="I14" t="s">
        <v>33</v>
      </c>
      <c r="J14" t="s">
        <v>18</v>
      </c>
      <c r="K14" s="1">
        <v>45018</v>
      </c>
      <c r="L14">
        <v>3</v>
      </c>
      <c r="M14" t="s">
        <v>1035</v>
      </c>
      <c r="N14">
        <v>2023</v>
      </c>
    </row>
    <row r="15" spans="1:14" x14ac:dyDescent="0.3">
      <c r="A15" t="s">
        <v>60</v>
      </c>
      <c r="B15" t="s">
        <v>61</v>
      </c>
      <c r="C15" t="s">
        <v>13</v>
      </c>
      <c r="D15">
        <v>41</v>
      </c>
      <c r="E15" t="s">
        <v>14</v>
      </c>
      <c r="F15" t="s">
        <v>37</v>
      </c>
      <c r="G15" t="s">
        <v>24</v>
      </c>
      <c r="H15">
        <v>146295</v>
      </c>
      <c r="I15" t="s">
        <v>33</v>
      </c>
      <c r="J15" t="s">
        <v>25</v>
      </c>
      <c r="K15" s="1">
        <v>42960</v>
      </c>
      <c r="L15">
        <v>8</v>
      </c>
      <c r="M15" t="s">
        <v>1037</v>
      </c>
      <c r="N15">
        <v>2017</v>
      </c>
    </row>
    <row r="16" spans="1:14" x14ac:dyDescent="0.3">
      <c r="A16" t="s">
        <v>62</v>
      </c>
      <c r="B16" t="s">
        <v>63</v>
      </c>
      <c r="C16" t="s">
        <v>21</v>
      </c>
      <c r="D16">
        <v>67</v>
      </c>
      <c r="E16" t="s">
        <v>53</v>
      </c>
      <c r="F16" t="s">
        <v>23</v>
      </c>
      <c r="G16" t="s">
        <v>24</v>
      </c>
      <c r="H16">
        <v>180829</v>
      </c>
      <c r="I16" t="s">
        <v>17</v>
      </c>
      <c r="J16" t="s">
        <v>25</v>
      </c>
      <c r="K16" s="1">
        <v>43673</v>
      </c>
      <c r="L16">
        <v>6</v>
      </c>
      <c r="M16" t="s">
        <v>1036</v>
      </c>
      <c r="N16">
        <v>2019</v>
      </c>
    </row>
    <row r="17" spans="1:14" x14ac:dyDescent="0.3">
      <c r="A17" t="s">
        <v>64</v>
      </c>
      <c r="B17" t="s">
        <v>65</v>
      </c>
      <c r="C17" t="s">
        <v>13</v>
      </c>
      <c r="D17">
        <v>49</v>
      </c>
      <c r="E17" t="s">
        <v>22</v>
      </c>
      <c r="F17" t="s">
        <v>41</v>
      </c>
      <c r="G17" t="s">
        <v>32</v>
      </c>
      <c r="H17">
        <v>54636</v>
      </c>
      <c r="I17" t="s">
        <v>42</v>
      </c>
      <c r="J17" t="s">
        <v>18</v>
      </c>
      <c r="K17" s="1">
        <v>43643</v>
      </c>
      <c r="L17">
        <v>6</v>
      </c>
      <c r="M17" t="s">
        <v>1036</v>
      </c>
      <c r="N17">
        <v>2019</v>
      </c>
    </row>
    <row r="18" spans="1:14" x14ac:dyDescent="0.3">
      <c r="A18" t="s">
        <v>66</v>
      </c>
      <c r="B18" t="s">
        <v>67</v>
      </c>
      <c r="C18" t="s">
        <v>21</v>
      </c>
      <c r="D18">
        <v>64</v>
      </c>
      <c r="E18" t="s">
        <v>53</v>
      </c>
      <c r="F18" t="s">
        <v>41</v>
      </c>
      <c r="G18" t="s">
        <v>32</v>
      </c>
      <c r="H18">
        <v>199352</v>
      </c>
      <c r="I18" t="s">
        <v>17</v>
      </c>
      <c r="J18" t="s">
        <v>18</v>
      </c>
      <c r="K18" s="1">
        <v>44375</v>
      </c>
      <c r="L18">
        <v>4</v>
      </c>
      <c r="M18" t="s">
        <v>1036</v>
      </c>
      <c r="N18">
        <v>2021</v>
      </c>
    </row>
    <row r="19" spans="1:14" x14ac:dyDescent="0.3">
      <c r="A19" t="s">
        <v>68</v>
      </c>
      <c r="B19" t="s">
        <v>69</v>
      </c>
      <c r="C19" t="s">
        <v>21</v>
      </c>
      <c r="D19">
        <v>39</v>
      </c>
      <c r="E19" t="s">
        <v>14</v>
      </c>
      <c r="F19" t="s">
        <v>41</v>
      </c>
      <c r="G19" t="s">
        <v>50</v>
      </c>
      <c r="H19">
        <v>44262</v>
      </c>
      <c r="I19" t="s">
        <v>42</v>
      </c>
      <c r="J19" t="s">
        <v>29</v>
      </c>
      <c r="K19" s="1">
        <v>45728</v>
      </c>
      <c r="L19">
        <v>1</v>
      </c>
      <c r="M19" t="s">
        <v>1038</v>
      </c>
      <c r="N19">
        <v>2025</v>
      </c>
    </row>
    <row r="20" spans="1:14" x14ac:dyDescent="0.3">
      <c r="A20" t="s">
        <v>70</v>
      </c>
      <c r="B20" t="s">
        <v>71</v>
      </c>
      <c r="C20" t="s">
        <v>21</v>
      </c>
      <c r="D20">
        <v>40</v>
      </c>
      <c r="E20" t="s">
        <v>14</v>
      </c>
      <c r="F20" t="s">
        <v>41</v>
      </c>
      <c r="G20" t="s">
        <v>28</v>
      </c>
      <c r="H20">
        <v>100435</v>
      </c>
      <c r="I20" t="s">
        <v>33</v>
      </c>
      <c r="J20" t="s">
        <v>25</v>
      </c>
      <c r="K20" s="1">
        <v>44456</v>
      </c>
      <c r="L20">
        <v>4</v>
      </c>
      <c r="M20" t="s">
        <v>1036</v>
      </c>
      <c r="N20">
        <v>2021</v>
      </c>
    </row>
    <row r="21" spans="1:14" x14ac:dyDescent="0.3">
      <c r="A21" t="s">
        <v>72</v>
      </c>
      <c r="B21" t="s">
        <v>73</v>
      </c>
      <c r="C21" t="s">
        <v>13</v>
      </c>
      <c r="D21">
        <v>19</v>
      </c>
      <c r="E21" t="s">
        <v>36</v>
      </c>
      <c r="F21" t="s">
        <v>41</v>
      </c>
      <c r="G21" t="s">
        <v>45</v>
      </c>
      <c r="H21">
        <v>148583</v>
      </c>
      <c r="I21" t="s">
        <v>33</v>
      </c>
      <c r="J21" t="s">
        <v>25</v>
      </c>
      <c r="K21" s="1">
        <v>45058</v>
      </c>
      <c r="L21">
        <v>2</v>
      </c>
      <c r="M21" t="s">
        <v>1035</v>
      </c>
      <c r="N21">
        <v>2023</v>
      </c>
    </row>
    <row r="22" spans="1:14" x14ac:dyDescent="0.3">
      <c r="A22" t="s">
        <v>74</v>
      </c>
      <c r="B22" t="s">
        <v>75</v>
      </c>
      <c r="C22" t="s">
        <v>21</v>
      </c>
      <c r="D22">
        <v>44</v>
      </c>
      <c r="E22" t="s">
        <v>14</v>
      </c>
      <c r="F22" t="s">
        <v>23</v>
      </c>
      <c r="G22" t="s">
        <v>24</v>
      </c>
      <c r="H22">
        <v>189269</v>
      </c>
      <c r="I22" t="s">
        <v>17</v>
      </c>
      <c r="J22" t="s">
        <v>18</v>
      </c>
      <c r="K22" s="1">
        <v>45414</v>
      </c>
      <c r="L22">
        <v>1</v>
      </c>
      <c r="M22" t="s">
        <v>1038</v>
      </c>
      <c r="N22">
        <v>2024</v>
      </c>
    </row>
    <row r="23" spans="1:14" x14ac:dyDescent="0.3">
      <c r="A23" t="s">
        <v>76</v>
      </c>
      <c r="B23" t="s">
        <v>77</v>
      </c>
      <c r="C23" t="s">
        <v>13</v>
      </c>
      <c r="D23">
        <v>59</v>
      </c>
      <c r="E23" t="s">
        <v>22</v>
      </c>
      <c r="F23" t="s">
        <v>23</v>
      </c>
      <c r="G23" t="s">
        <v>50</v>
      </c>
      <c r="H23">
        <v>61844</v>
      </c>
      <c r="I23" t="s">
        <v>42</v>
      </c>
      <c r="J23" t="s">
        <v>25</v>
      </c>
      <c r="K23" s="1">
        <v>45118</v>
      </c>
      <c r="L23">
        <v>2</v>
      </c>
      <c r="M23" t="s">
        <v>1035</v>
      </c>
      <c r="N23">
        <v>2023</v>
      </c>
    </row>
    <row r="24" spans="1:14" x14ac:dyDescent="0.3">
      <c r="A24" t="s">
        <v>78</v>
      </c>
      <c r="B24" t="s">
        <v>79</v>
      </c>
      <c r="C24" t="s">
        <v>21</v>
      </c>
      <c r="D24">
        <v>19</v>
      </c>
      <c r="E24" t="s">
        <v>36</v>
      </c>
      <c r="F24" t="s">
        <v>41</v>
      </c>
      <c r="G24" t="s">
        <v>28</v>
      </c>
      <c r="H24">
        <v>84754</v>
      </c>
      <c r="I24" t="s">
        <v>42</v>
      </c>
      <c r="J24" t="s">
        <v>18</v>
      </c>
      <c r="K24" s="1">
        <v>44745</v>
      </c>
      <c r="L24">
        <v>3</v>
      </c>
      <c r="M24" t="s">
        <v>1035</v>
      </c>
      <c r="N24">
        <v>2022</v>
      </c>
    </row>
    <row r="25" spans="1:14" x14ac:dyDescent="0.3">
      <c r="A25" t="s">
        <v>80</v>
      </c>
      <c r="B25" t="s">
        <v>81</v>
      </c>
      <c r="C25" t="s">
        <v>21</v>
      </c>
      <c r="D25">
        <v>43</v>
      </c>
      <c r="E25" t="s">
        <v>14</v>
      </c>
      <c r="F25" t="s">
        <v>37</v>
      </c>
      <c r="G25" t="s">
        <v>45</v>
      </c>
      <c r="H25">
        <v>185229</v>
      </c>
      <c r="I25" t="s">
        <v>17</v>
      </c>
      <c r="J25" t="s">
        <v>25</v>
      </c>
      <c r="K25" s="1">
        <v>42765</v>
      </c>
      <c r="L25">
        <v>9</v>
      </c>
      <c r="M25" t="s">
        <v>1037</v>
      </c>
      <c r="N25">
        <v>2017</v>
      </c>
    </row>
    <row r="26" spans="1:14" x14ac:dyDescent="0.3">
      <c r="A26" t="s">
        <v>82</v>
      </c>
      <c r="B26" t="s">
        <v>83</v>
      </c>
      <c r="C26" t="s">
        <v>21</v>
      </c>
      <c r="D26">
        <v>34</v>
      </c>
      <c r="E26" t="s">
        <v>14</v>
      </c>
      <c r="F26" t="s">
        <v>15</v>
      </c>
      <c r="G26" t="s">
        <v>38</v>
      </c>
      <c r="H26">
        <v>97129</v>
      </c>
      <c r="I26" t="s">
        <v>42</v>
      </c>
      <c r="J26" t="s">
        <v>18</v>
      </c>
      <c r="K26" s="1">
        <v>43718</v>
      </c>
      <c r="L26">
        <v>6</v>
      </c>
      <c r="M26" t="s">
        <v>1036</v>
      </c>
      <c r="N26">
        <v>2019</v>
      </c>
    </row>
    <row r="27" spans="1:14" x14ac:dyDescent="0.3">
      <c r="A27" t="s">
        <v>84</v>
      </c>
      <c r="B27" t="s">
        <v>85</v>
      </c>
      <c r="C27" t="s">
        <v>21</v>
      </c>
      <c r="D27">
        <v>57</v>
      </c>
      <c r="E27" t="s">
        <v>22</v>
      </c>
      <c r="F27" t="s">
        <v>41</v>
      </c>
      <c r="G27" t="s">
        <v>16</v>
      </c>
      <c r="H27">
        <v>60042</v>
      </c>
      <c r="I27" t="s">
        <v>42</v>
      </c>
      <c r="J27" t="s">
        <v>25</v>
      </c>
      <c r="K27" s="1">
        <v>44469</v>
      </c>
      <c r="L27">
        <v>4</v>
      </c>
      <c r="M27" t="s">
        <v>1036</v>
      </c>
      <c r="N27">
        <v>2021</v>
      </c>
    </row>
    <row r="28" spans="1:14" x14ac:dyDescent="0.3">
      <c r="A28" t="s">
        <v>86</v>
      </c>
      <c r="B28" t="s">
        <v>87</v>
      </c>
      <c r="C28" t="s">
        <v>21</v>
      </c>
      <c r="D28">
        <v>50</v>
      </c>
      <c r="E28" t="s">
        <v>22</v>
      </c>
      <c r="F28" t="s">
        <v>37</v>
      </c>
      <c r="G28" t="s">
        <v>32</v>
      </c>
      <c r="H28">
        <v>81665</v>
      </c>
      <c r="I28" t="s">
        <v>42</v>
      </c>
      <c r="J28" t="s">
        <v>29</v>
      </c>
      <c r="K28" s="1">
        <v>42607</v>
      </c>
      <c r="L28">
        <v>9</v>
      </c>
      <c r="M28" t="s">
        <v>1037</v>
      </c>
      <c r="N28">
        <v>2016</v>
      </c>
    </row>
    <row r="29" spans="1:14" x14ac:dyDescent="0.3">
      <c r="A29" t="s">
        <v>88</v>
      </c>
      <c r="B29" t="s">
        <v>89</v>
      </c>
      <c r="C29" t="s">
        <v>21</v>
      </c>
      <c r="D29">
        <v>26</v>
      </c>
      <c r="E29" t="s">
        <v>36</v>
      </c>
      <c r="F29" t="s">
        <v>15</v>
      </c>
      <c r="G29" t="s">
        <v>38</v>
      </c>
      <c r="H29">
        <v>136953</v>
      </c>
      <c r="I29" t="s">
        <v>33</v>
      </c>
      <c r="J29" t="s">
        <v>18</v>
      </c>
      <c r="K29" s="1">
        <v>43698</v>
      </c>
      <c r="L29">
        <v>6</v>
      </c>
      <c r="M29" t="s">
        <v>1036</v>
      </c>
      <c r="N29">
        <v>2019</v>
      </c>
    </row>
    <row r="30" spans="1:14" x14ac:dyDescent="0.3">
      <c r="A30" t="s">
        <v>90</v>
      </c>
      <c r="B30" t="s">
        <v>91</v>
      </c>
      <c r="C30" t="s">
        <v>21</v>
      </c>
      <c r="D30">
        <v>60</v>
      </c>
      <c r="E30" t="s">
        <v>22</v>
      </c>
      <c r="F30" t="s">
        <v>41</v>
      </c>
      <c r="G30" t="s">
        <v>45</v>
      </c>
      <c r="H30">
        <v>178448</v>
      </c>
      <c r="I30" t="s">
        <v>17</v>
      </c>
      <c r="J30" t="s">
        <v>29</v>
      </c>
      <c r="K30" s="1">
        <v>44834</v>
      </c>
      <c r="L30">
        <v>3</v>
      </c>
      <c r="M30" t="s">
        <v>1035</v>
      </c>
      <c r="N30">
        <v>2022</v>
      </c>
    </row>
    <row r="31" spans="1:14" x14ac:dyDescent="0.3">
      <c r="A31" t="s">
        <v>92</v>
      </c>
      <c r="B31" t="s">
        <v>93</v>
      </c>
      <c r="C31" t="s">
        <v>21</v>
      </c>
      <c r="D31">
        <v>71</v>
      </c>
      <c r="E31" t="s">
        <v>53</v>
      </c>
      <c r="F31" t="s">
        <v>41</v>
      </c>
      <c r="G31" t="s">
        <v>38</v>
      </c>
      <c r="H31">
        <v>165271</v>
      </c>
      <c r="I31" t="s">
        <v>17</v>
      </c>
      <c r="J31" t="s">
        <v>18</v>
      </c>
      <c r="K31" s="1">
        <v>44109</v>
      </c>
      <c r="L31">
        <v>5</v>
      </c>
      <c r="M31" t="s">
        <v>1036</v>
      </c>
      <c r="N31">
        <v>2020</v>
      </c>
    </row>
    <row r="32" spans="1:14" x14ac:dyDescent="0.3">
      <c r="A32" t="s">
        <v>94</v>
      </c>
      <c r="B32" t="s">
        <v>95</v>
      </c>
      <c r="C32" t="s">
        <v>13</v>
      </c>
      <c r="D32">
        <v>65</v>
      </c>
      <c r="E32" t="s">
        <v>53</v>
      </c>
      <c r="F32" t="s">
        <v>23</v>
      </c>
      <c r="G32" t="s">
        <v>16</v>
      </c>
      <c r="H32">
        <v>138533</v>
      </c>
      <c r="I32" t="s">
        <v>33</v>
      </c>
      <c r="J32" t="s">
        <v>25</v>
      </c>
      <c r="K32" s="1">
        <v>42742</v>
      </c>
      <c r="L32">
        <v>9</v>
      </c>
      <c r="M32" t="s">
        <v>1037</v>
      </c>
      <c r="N32">
        <v>2017</v>
      </c>
    </row>
    <row r="33" spans="1:14" x14ac:dyDescent="0.3">
      <c r="A33" t="s">
        <v>96</v>
      </c>
      <c r="B33" t="s">
        <v>97</v>
      </c>
      <c r="C33" t="s">
        <v>13</v>
      </c>
      <c r="D33">
        <v>56</v>
      </c>
      <c r="E33" t="s">
        <v>22</v>
      </c>
      <c r="F33" t="s">
        <v>15</v>
      </c>
      <c r="G33" t="s">
        <v>50</v>
      </c>
      <c r="H33">
        <v>93781</v>
      </c>
      <c r="I33" t="s">
        <v>42</v>
      </c>
      <c r="J33" t="s">
        <v>25</v>
      </c>
      <c r="K33" s="1">
        <v>42565</v>
      </c>
      <c r="L33">
        <v>9</v>
      </c>
      <c r="M33" t="s">
        <v>1037</v>
      </c>
      <c r="N33">
        <v>2016</v>
      </c>
    </row>
    <row r="34" spans="1:14" x14ac:dyDescent="0.3">
      <c r="A34" t="s">
        <v>98</v>
      </c>
      <c r="B34" t="s">
        <v>99</v>
      </c>
      <c r="C34" t="s">
        <v>21</v>
      </c>
      <c r="D34">
        <v>46</v>
      </c>
      <c r="E34" t="s">
        <v>22</v>
      </c>
      <c r="F34" t="s">
        <v>15</v>
      </c>
      <c r="G34" t="s">
        <v>45</v>
      </c>
      <c r="H34">
        <v>86262</v>
      </c>
      <c r="I34" t="s">
        <v>42</v>
      </c>
      <c r="J34" t="s">
        <v>18</v>
      </c>
      <c r="K34" s="1">
        <v>43698</v>
      </c>
      <c r="L34">
        <v>6</v>
      </c>
      <c r="M34" t="s">
        <v>1036</v>
      </c>
      <c r="N34">
        <v>2019</v>
      </c>
    </row>
    <row r="35" spans="1:14" x14ac:dyDescent="0.3">
      <c r="A35" t="s">
        <v>100</v>
      </c>
      <c r="B35" t="s">
        <v>101</v>
      </c>
      <c r="C35" t="s">
        <v>21</v>
      </c>
      <c r="D35">
        <v>59</v>
      </c>
      <c r="E35" t="s">
        <v>22</v>
      </c>
      <c r="F35" t="s">
        <v>37</v>
      </c>
      <c r="G35" t="s">
        <v>38</v>
      </c>
      <c r="H35">
        <v>66600</v>
      </c>
      <c r="I35" t="s">
        <v>42</v>
      </c>
      <c r="J35" t="s">
        <v>25</v>
      </c>
      <c r="K35" s="1">
        <v>44513</v>
      </c>
      <c r="L35">
        <v>4</v>
      </c>
      <c r="M35" t="s">
        <v>1036</v>
      </c>
      <c r="N35">
        <v>2021</v>
      </c>
    </row>
    <row r="36" spans="1:14" x14ac:dyDescent="0.3">
      <c r="A36" t="s">
        <v>102</v>
      </c>
      <c r="B36" t="s">
        <v>103</v>
      </c>
      <c r="C36" t="s">
        <v>21</v>
      </c>
      <c r="D36">
        <v>72</v>
      </c>
      <c r="E36" t="s">
        <v>53</v>
      </c>
      <c r="F36" t="s">
        <v>23</v>
      </c>
      <c r="G36" t="s">
        <v>32</v>
      </c>
      <c r="H36">
        <v>96898</v>
      </c>
      <c r="I36" t="s">
        <v>42</v>
      </c>
      <c r="J36" t="s">
        <v>25</v>
      </c>
      <c r="K36" s="1">
        <v>42533</v>
      </c>
      <c r="L36">
        <v>9</v>
      </c>
      <c r="M36" t="s">
        <v>1037</v>
      </c>
      <c r="N36">
        <v>2016</v>
      </c>
    </row>
    <row r="37" spans="1:14" x14ac:dyDescent="0.3">
      <c r="A37" t="s">
        <v>104</v>
      </c>
      <c r="B37" t="s">
        <v>105</v>
      </c>
      <c r="C37" t="s">
        <v>13</v>
      </c>
      <c r="D37">
        <v>43</v>
      </c>
      <c r="E37" t="s">
        <v>14</v>
      </c>
      <c r="F37" t="s">
        <v>23</v>
      </c>
      <c r="G37" t="s">
        <v>32</v>
      </c>
      <c r="H37">
        <v>169369</v>
      </c>
      <c r="I37" t="s">
        <v>17</v>
      </c>
      <c r="J37" t="s">
        <v>18</v>
      </c>
      <c r="K37" s="1">
        <v>42902</v>
      </c>
      <c r="L37">
        <v>8</v>
      </c>
      <c r="M37" t="s">
        <v>1037</v>
      </c>
      <c r="N37">
        <v>2017</v>
      </c>
    </row>
    <row r="38" spans="1:14" x14ac:dyDescent="0.3">
      <c r="A38" t="s">
        <v>106</v>
      </c>
      <c r="B38" t="s">
        <v>107</v>
      </c>
      <c r="C38" t="s">
        <v>21</v>
      </c>
      <c r="D38">
        <v>52</v>
      </c>
      <c r="E38" t="s">
        <v>22</v>
      </c>
      <c r="F38" t="s">
        <v>23</v>
      </c>
      <c r="G38" t="s">
        <v>28</v>
      </c>
      <c r="H38">
        <v>50448</v>
      </c>
      <c r="I38" t="s">
        <v>42</v>
      </c>
      <c r="J38" t="s">
        <v>18</v>
      </c>
      <c r="K38" s="1">
        <v>42922</v>
      </c>
      <c r="L38">
        <v>8</v>
      </c>
      <c r="M38" t="s">
        <v>1037</v>
      </c>
      <c r="N38">
        <v>2017</v>
      </c>
    </row>
    <row r="39" spans="1:14" x14ac:dyDescent="0.3">
      <c r="A39" t="s">
        <v>108</v>
      </c>
      <c r="B39" t="s">
        <v>109</v>
      </c>
      <c r="C39" t="s">
        <v>13</v>
      </c>
      <c r="D39">
        <v>67</v>
      </c>
      <c r="E39" t="s">
        <v>53</v>
      </c>
      <c r="F39" t="s">
        <v>23</v>
      </c>
      <c r="G39" t="s">
        <v>38</v>
      </c>
      <c r="H39">
        <v>46172</v>
      </c>
      <c r="I39" t="s">
        <v>42</v>
      </c>
      <c r="J39" t="s">
        <v>25</v>
      </c>
      <c r="K39" s="1">
        <v>44507</v>
      </c>
      <c r="L39">
        <v>4</v>
      </c>
      <c r="M39" t="s">
        <v>1036</v>
      </c>
      <c r="N39">
        <v>2021</v>
      </c>
    </row>
    <row r="40" spans="1:14" x14ac:dyDescent="0.3">
      <c r="A40" t="s">
        <v>110</v>
      </c>
      <c r="B40" t="s">
        <v>111</v>
      </c>
      <c r="C40" t="s">
        <v>13</v>
      </c>
      <c r="D40">
        <v>42</v>
      </c>
      <c r="E40" t="s">
        <v>14</v>
      </c>
      <c r="F40" t="s">
        <v>15</v>
      </c>
      <c r="G40" t="s">
        <v>24</v>
      </c>
      <c r="H40">
        <v>193946</v>
      </c>
      <c r="I40" t="s">
        <v>17</v>
      </c>
      <c r="J40" t="s">
        <v>25</v>
      </c>
      <c r="K40" s="1">
        <v>44074</v>
      </c>
      <c r="L40">
        <v>5</v>
      </c>
      <c r="M40" t="s">
        <v>1036</v>
      </c>
      <c r="N40">
        <v>2020</v>
      </c>
    </row>
    <row r="41" spans="1:14" x14ac:dyDescent="0.3">
      <c r="A41" t="s">
        <v>112</v>
      </c>
      <c r="B41" t="s">
        <v>113</v>
      </c>
      <c r="C41" t="s">
        <v>13</v>
      </c>
      <c r="D41">
        <v>41</v>
      </c>
      <c r="E41" t="s">
        <v>14</v>
      </c>
      <c r="F41" t="s">
        <v>15</v>
      </c>
      <c r="G41" t="s">
        <v>38</v>
      </c>
      <c r="H41">
        <v>27657</v>
      </c>
      <c r="I41" t="s">
        <v>42</v>
      </c>
      <c r="J41" t="s">
        <v>25</v>
      </c>
      <c r="K41" s="1">
        <v>42296</v>
      </c>
      <c r="L41">
        <v>10</v>
      </c>
      <c r="M41" t="s">
        <v>1037</v>
      </c>
      <c r="N41">
        <v>2015</v>
      </c>
    </row>
    <row r="42" spans="1:14" x14ac:dyDescent="0.3">
      <c r="A42" t="s">
        <v>114</v>
      </c>
      <c r="B42" t="s">
        <v>115</v>
      </c>
      <c r="C42" t="s">
        <v>13</v>
      </c>
      <c r="D42">
        <v>30</v>
      </c>
      <c r="E42" t="s">
        <v>14</v>
      </c>
      <c r="F42" t="s">
        <v>41</v>
      </c>
      <c r="G42" t="s">
        <v>50</v>
      </c>
      <c r="H42">
        <v>176497</v>
      </c>
      <c r="I42" t="s">
        <v>17</v>
      </c>
      <c r="J42" t="s">
        <v>25</v>
      </c>
      <c r="K42" s="1">
        <v>42853</v>
      </c>
      <c r="L42">
        <v>8</v>
      </c>
      <c r="M42" t="s">
        <v>1037</v>
      </c>
      <c r="N42">
        <v>2017</v>
      </c>
    </row>
    <row r="43" spans="1:14" x14ac:dyDescent="0.3">
      <c r="A43" t="s">
        <v>116</v>
      </c>
      <c r="B43" t="s">
        <v>117</v>
      </c>
      <c r="C43" t="s">
        <v>13</v>
      </c>
      <c r="D43">
        <v>24</v>
      </c>
      <c r="E43" t="s">
        <v>36</v>
      </c>
      <c r="F43" t="s">
        <v>41</v>
      </c>
      <c r="G43" t="s">
        <v>45</v>
      </c>
      <c r="H43">
        <v>177757</v>
      </c>
      <c r="I43" t="s">
        <v>17</v>
      </c>
      <c r="J43" t="s">
        <v>18</v>
      </c>
      <c r="K43" s="1">
        <v>42576</v>
      </c>
      <c r="L43">
        <v>9</v>
      </c>
      <c r="M43" t="s">
        <v>1037</v>
      </c>
      <c r="N43">
        <v>2016</v>
      </c>
    </row>
    <row r="44" spans="1:14" x14ac:dyDescent="0.3">
      <c r="A44" t="s">
        <v>118</v>
      </c>
      <c r="B44" t="s">
        <v>119</v>
      </c>
      <c r="C44" t="s">
        <v>21</v>
      </c>
      <c r="D44">
        <v>74</v>
      </c>
      <c r="E44" t="s">
        <v>53</v>
      </c>
      <c r="F44" t="s">
        <v>23</v>
      </c>
      <c r="G44" t="s">
        <v>45</v>
      </c>
      <c r="H44">
        <v>132855</v>
      </c>
      <c r="I44" t="s">
        <v>33</v>
      </c>
      <c r="J44" t="s">
        <v>25</v>
      </c>
      <c r="K44" s="1">
        <v>44752</v>
      </c>
      <c r="L44">
        <v>3</v>
      </c>
      <c r="M44" t="s">
        <v>1035</v>
      </c>
      <c r="N44">
        <v>2022</v>
      </c>
    </row>
    <row r="45" spans="1:14" x14ac:dyDescent="0.3">
      <c r="A45" t="s">
        <v>120</v>
      </c>
      <c r="B45" t="s">
        <v>121</v>
      </c>
      <c r="C45" t="s">
        <v>21</v>
      </c>
      <c r="D45">
        <v>53</v>
      </c>
      <c r="E45" t="s">
        <v>22</v>
      </c>
      <c r="F45" t="s">
        <v>23</v>
      </c>
      <c r="G45" t="s">
        <v>50</v>
      </c>
      <c r="H45">
        <v>175650</v>
      </c>
      <c r="I45" t="s">
        <v>17</v>
      </c>
      <c r="J45" t="s">
        <v>18</v>
      </c>
      <c r="K45" s="1">
        <v>44427</v>
      </c>
      <c r="L45">
        <v>4</v>
      </c>
      <c r="M45" t="s">
        <v>1036</v>
      </c>
      <c r="N45">
        <v>2021</v>
      </c>
    </row>
    <row r="46" spans="1:14" x14ac:dyDescent="0.3">
      <c r="A46" t="s">
        <v>122</v>
      </c>
      <c r="B46" t="s">
        <v>123</v>
      </c>
      <c r="C46" t="s">
        <v>21</v>
      </c>
      <c r="D46">
        <v>62</v>
      </c>
      <c r="E46" t="s">
        <v>53</v>
      </c>
      <c r="F46" t="s">
        <v>23</v>
      </c>
      <c r="G46" t="s">
        <v>38</v>
      </c>
      <c r="H46">
        <v>179903</v>
      </c>
      <c r="I46" t="s">
        <v>17</v>
      </c>
      <c r="J46" t="s">
        <v>18</v>
      </c>
      <c r="K46" s="1">
        <v>43636</v>
      </c>
      <c r="L46">
        <v>6</v>
      </c>
      <c r="M46" t="s">
        <v>1036</v>
      </c>
      <c r="N46">
        <v>2019</v>
      </c>
    </row>
    <row r="47" spans="1:14" x14ac:dyDescent="0.3">
      <c r="A47" t="s">
        <v>124</v>
      </c>
      <c r="B47" t="s">
        <v>125</v>
      </c>
      <c r="C47" t="s">
        <v>21</v>
      </c>
      <c r="D47">
        <v>37</v>
      </c>
      <c r="E47" t="s">
        <v>14</v>
      </c>
      <c r="F47" t="s">
        <v>41</v>
      </c>
      <c r="G47" t="s">
        <v>50</v>
      </c>
      <c r="H47">
        <v>27906</v>
      </c>
      <c r="I47" t="s">
        <v>42</v>
      </c>
      <c r="J47" t="s">
        <v>18</v>
      </c>
      <c r="K47" s="1">
        <v>44323</v>
      </c>
      <c r="L47">
        <v>4</v>
      </c>
      <c r="M47" t="s">
        <v>1036</v>
      </c>
      <c r="N47">
        <v>2021</v>
      </c>
    </row>
    <row r="48" spans="1:14" x14ac:dyDescent="0.3">
      <c r="A48" t="s">
        <v>126</v>
      </c>
      <c r="B48" t="s">
        <v>127</v>
      </c>
      <c r="C48" t="s">
        <v>21</v>
      </c>
      <c r="D48">
        <v>18</v>
      </c>
      <c r="E48" t="s">
        <v>36</v>
      </c>
      <c r="F48" t="s">
        <v>37</v>
      </c>
      <c r="G48" t="s">
        <v>16</v>
      </c>
      <c r="H48">
        <v>81413</v>
      </c>
      <c r="I48" t="s">
        <v>42</v>
      </c>
      <c r="J48" t="s">
        <v>18</v>
      </c>
      <c r="K48" s="1">
        <v>42831</v>
      </c>
      <c r="L48">
        <v>9</v>
      </c>
      <c r="M48" t="s">
        <v>1037</v>
      </c>
      <c r="N48">
        <v>2017</v>
      </c>
    </row>
    <row r="49" spans="1:14" x14ac:dyDescent="0.3">
      <c r="A49" t="s">
        <v>128</v>
      </c>
      <c r="B49" t="s">
        <v>129</v>
      </c>
      <c r="C49" t="s">
        <v>13</v>
      </c>
      <c r="D49">
        <v>25</v>
      </c>
      <c r="E49" t="s">
        <v>36</v>
      </c>
      <c r="F49" t="s">
        <v>37</v>
      </c>
      <c r="G49" t="s">
        <v>50</v>
      </c>
      <c r="H49">
        <v>74028</v>
      </c>
      <c r="I49" t="s">
        <v>42</v>
      </c>
      <c r="J49" t="s">
        <v>18</v>
      </c>
      <c r="K49" s="1">
        <v>45478</v>
      </c>
      <c r="L49">
        <v>1</v>
      </c>
      <c r="M49" t="s">
        <v>1038</v>
      </c>
      <c r="N49">
        <v>2024</v>
      </c>
    </row>
    <row r="50" spans="1:14" x14ac:dyDescent="0.3">
      <c r="A50" t="s">
        <v>130</v>
      </c>
      <c r="B50" t="s">
        <v>131</v>
      </c>
      <c r="C50" t="s">
        <v>21</v>
      </c>
      <c r="D50">
        <v>63</v>
      </c>
      <c r="E50" t="s">
        <v>53</v>
      </c>
      <c r="F50" t="s">
        <v>41</v>
      </c>
      <c r="G50" t="s">
        <v>32</v>
      </c>
      <c r="H50">
        <v>27287</v>
      </c>
      <c r="I50" t="s">
        <v>42</v>
      </c>
      <c r="J50" t="s">
        <v>18</v>
      </c>
      <c r="K50" s="1">
        <v>42750</v>
      </c>
      <c r="L50">
        <v>9</v>
      </c>
      <c r="M50" t="s">
        <v>1037</v>
      </c>
      <c r="N50">
        <v>2017</v>
      </c>
    </row>
    <row r="51" spans="1:14" x14ac:dyDescent="0.3">
      <c r="A51" t="s">
        <v>132</v>
      </c>
      <c r="B51" t="s">
        <v>133</v>
      </c>
      <c r="C51" t="s">
        <v>21</v>
      </c>
      <c r="D51">
        <v>33</v>
      </c>
      <c r="E51" t="s">
        <v>14</v>
      </c>
      <c r="F51" t="s">
        <v>41</v>
      </c>
      <c r="G51" t="s">
        <v>50</v>
      </c>
      <c r="H51">
        <v>53660</v>
      </c>
      <c r="I51" t="s">
        <v>42</v>
      </c>
      <c r="J51" t="s">
        <v>25</v>
      </c>
      <c r="K51" s="1">
        <v>44992</v>
      </c>
      <c r="L51">
        <v>3</v>
      </c>
      <c r="M51" t="s">
        <v>1035</v>
      </c>
      <c r="N51">
        <v>2023</v>
      </c>
    </row>
    <row r="52" spans="1:14" x14ac:dyDescent="0.3">
      <c r="A52" t="s">
        <v>134</v>
      </c>
      <c r="B52" t="s">
        <v>135</v>
      </c>
      <c r="C52" t="s">
        <v>13</v>
      </c>
      <c r="D52">
        <v>31</v>
      </c>
      <c r="E52" t="s">
        <v>14</v>
      </c>
      <c r="F52" t="s">
        <v>41</v>
      </c>
      <c r="G52" t="s">
        <v>45</v>
      </c>
      <c r="H52">
        <v>80504</v>
      </c>
      <c r="I52" t="s">
        <v>42</v>
      </c>
      <c r="J52" t="s">
        <v>18</v>
      </c>
      <c r="K52" s="1">
        <v>42622</v>
      </c>
      <c r="L52">
        <v>9</v>
      </c>
      <c r="M52" t="s">
        <v>1037</v>
      </c>
      <c r="N52">
        <v>2016</v>
      </c>
    </row>
    <row r="53" spans="1:14" x14ac:dyDescent="0.3">
      <c r="A53" t="s">
        <v>136</v>
      </c>
      <c r="B53" t="s">
        <v>137</v>
      </c>
      <c r="C53" t="s">
        <v>21</v>
      </c>
      <c r="D53">
        <v>29</v>
      </c>
      <c r="E53" t="s">
        <v>14</v>
      </c>
      <c r="F53" t="s">
        <v>41</v>
      </c>
      <c r="G53" t="s">
        <v>32</v>
      </c>
      <c r="H53">
        <v>122979</v>
      </c>
      <c r="I53" t="s">
        <v>33</v>
      </c>
      <c r="J53" t="s">
        <v>18</v>
      </c>
      <c r="K53" s="1">
        <v>45072</v>
      </c>
      <c r="L53">
        <v>2</v>
      </c>
      <c r="M53" t="s">
        <v>1035</v>
      </c>
      <c r="N53">
        <v>2023</v>
      </c>
    </row>
    <row r="54" spans="1:14" x14ac:dyDescent="0.3">
      <c r="A54" t="s">
        <v>138</v>
      </c>
      <c r="B54" t="s">
        <v>139</v>
      </c>
      <c r="C54" t="s">
        <v>13</v>
      </c>
      <c r="D54">
        <v>68</v>
      </c>
      <c r="E54" t="s">
        <v>53</v>
      </c>
      <c r="F54" t="s">
        <v>41</v>
      </c>
      <c r="G54" t="s">
        <v>45</v>
      </c>
      <c r="H54">
        <v>54701</v>
      </c>
      <c r="I54" t="s">
        <v>42</v>
      </c>
      <c r="J54" t="s">
        <v>18</v>
      </c>
      <c r="K54" s="1">
        <v>44740</v>
      </c>
      <c r="L54">
        <v>3</v>
      </c>
      <c r="M54" t="s">
        <v>1035</v>
      </c>
      <c r="N54">
        <v>2022</v>
      </c>
    </row>
    <row r="55" spans="1:14" x14ac:dyDescent="0.3">
      <c r="A55" t="s">
        <v>140</v>
      </c>
      <c r="B55" t="s">
        <v>141</v>
      </c>
      <c r="C55" t="s">
        <v>21</v>
      </c>
      <c r="D55">
        <v>40</v>
      </c>
      <c r="E55" t="s">
        <v>14</v>
      </c>
      <c r="F55" t="s">
        <v>41</v>
      </c>
      <c r="G55" t="s">
        <v>28</v>
      </c>
      <c r="H55">
        <v>103300</v>
      </c>
      <c r="I55" t="s">
        <v>33</v>
      </c>
      <c r="J55" t="s">
        <v>18</v>
      </c>
      <c r="K55" s="1">
        <v>44107</v>
      </c>
      <c r="L55">
        <v>5</v>
      </c>
      <c r="M55" t="s">
        <v>1036</v>
      </c>
      <c r="N55">
        <v>2020</v>
      </c>
    </row>
    <row r="56" spans="1:14" x14ac:dyDescent="0.3">
      <c r="A56" t="s">
        <v>142</v>
      </c>
      <c r="B56" t="s">
        <v>143</v>
      </c>
      <c r="C56" t="s">
        <v>13</v>
      </c>
      <c r="D56">
        <v>32</v>
      </c>
      <c r="E56" t="s">
        <v>14</v>
      </c>
      <c r="F56" t="s">
        <v>23</v>
      </c>
      <c r="G56" t="s">
        <v>24</v>
      </c>
      <c r="H56">
        <v>168746</v>
      </c>
      <c r="I56" t="s">
        <v>17</v>
      </c>
      <c r="J56" t="s">
        <v>18</v>
      </c>
      <c r="K56" s="1">
        <v>44916</v>
      </c>
      <c r="L56">
        <v>3</v>
      </c>
      <c r="M56" t="s">
        <v>1035</v>
      </c>
      <c r="N56">
        <v>2022</v>
      </c>
    </row>
    <row r="57" spans="1:14" x14ac:dyDescent="0.3">
      <c r="A57" t="s">
        <v>144</v>
      </c>
      <c r="B57" t="s">
        <v>145</v>
      </c>
      <c r="C57" t="s">
        <v>21</v>
      </c>
      <c r="D57">
        <v>45</v>
      </c>
      <c r="E57" t="s">
        <v>22</v>
      </c>
      <c r="F57" t="s">
        <v>23</v>
      </c>
      <c r="G57" t="s">
        <v>45</v>
      </c>
      <c r="H57">
        <v>103560</v>
      </c>
      <c r="I57" t="s">
        <v>33</v>
      </c>
      <c r="J57" t="s">
        <v>18</v>
      </c>
      <c r="K57" s="1">
        <v>44711</v>
      </c>
      <c r="L57">
        <v>3</v>
      </c>
      <c r="M57" t="s">
        <v>1035</v>
      </c>
      <c r="N57">
        <v>2022</v>
      </c>
    </row>
    <row r="58" spans="1:14" x14ac:dyDescent="0.3">
      <c r="A58" t="s">
        <v>146</v>
      </c>
      <c r="B58" t="s">
        <v>147</v>
      </c>
      <c r="C58" t="s">
        <v>21</v>
      </c>
      <c r="D58">
        <v>51</v>
      </c>
      <c r="E58" t="s">
        <v>22</v>
      </c>
      <c r="F58" t="s">
        <v>23</v>
      </c>
      <c r="G58" t="s">
        <v>32</v>
      </c>
      <c r="H58">
        <v>174946</v>
      </c>
      <c r="I58" t="s">
        <v>17</v>
      </c>
      <c r="J58" t="s">
        <v>25</v>
      </c>
      <c r="K58" s="1">
        <v>43671</v>
      </c>
      <c r="L58">
        <v>6</v>
      </c>
      <c r="M58" t="s">
        <v>1036</v>
      </c>
      <c r="N58">
        <v>2019</v>
      </c>
    </row>
    <row r="59" spans="1:14" x14ac:dyDescent="0.3">
      <c r="A59" t="s">
        <v>148</v>
      </c>
      <c r="B59" t="s">
        <v>149</v>
      </c>
      <c r="C59" t="s">
        <v>13</v>
      </c>
      <c r="D59">
        <v>19</v>
      </c>
      <c r="E59" t="s">
        <v>36</v>
      </c>
      <c r="F59" t="s">
        <v>23</v>
      </c>
      <c r="G59" t="s">
        <v>28</v>
      </c>
      <c r="H59">
        <v>63642</v>
      </c>
      <c r="I59" t="s">
        <v>42</v>
      </c>
      <c r="J59" t="s">
        <v>25</v>
      </c>
      <c r="K59" s="1">
        <v>43622</v>
      </c>
      <c r="L59">
        <v>6</v>
      </c>
      <c r="M59" t="s">
        <v>1036</v>
      </c>
      <c r="N59">
        <v>2019</v>
      </c>
    </row>
    <row r="60" spans="1:14" x14ac:dyDescent="0.3">
      <c r="A60" t="s">
        <v>150</v>
      </c>
      <c r="B60" t="s">
        <v>151</v>
      </c>
      <c r="C60" t="s">
        <v>13</v>
      </c>
      <c r="D60">
        <v>49</v>
      </c>
      <c r="E60" t="s">
        <v>22</v>
      </c>
      <c r="F60" t="s">
        <v>41</v>
      </c>
      <c r="G60" t="s">
        <v>45</v>
      </c>
      <c r="H60">
        <v>85160</v>
      </c>
      <c r="I60" t="s">
        <v>42</v>
      </c>
      <c r="J60" t="s">
        <v>25</v>
      </c>
      <c r="K60" s="1">
        <v>45360</v>
      </c>
      <c r="L60">
        <v>2</v>
      </c>
      <c r="M60" t="s">
        <v>1035</v>
      </c>
      <c r="N60">
        <v>2024</v>
      </c>
    </row>
    <row r="61" spans="1:14" x14ac:dyDescent="0.3">
      <c r="A61" t="s">
        <v>152</v>
      </c>
      <c r="B61" t="s">
        <v>153</v>
      </c>
      <c r="C61" t="s">
        <v>13</v>
      </c>
      <c r="D61">
        <v>40</v>
      </c>
      <c r="E61" t="s">
        <v>14</v>
      </c>
      <c r="F61" t="s">
        <v>37</v>
      </c>
      <c r="G61" t="s">
        <v>16</v>
      </c>
      <c r="H61">
        <v>37602</v>
      </c>
      <c r="I61" t="s">
        <v>42</v>
      </c>
      <c r="J61" t="s">
        <v>18</v>
      </c>
      <c r="K61" s="1">
        <v>43415</v>
      </c>
      <c r="L61">
        <v>7</v>
      </c>
      <c r="M61" t="s">
        <v>1036</v>
      </c>
      <c r="N61">
        <v>2018</v>
      </c>
    </row>
    <row r="62" spans="1:14" x14ac:dyDescent="0.3">
      <c r="A62" t="s">
        <v>154</v>
      </c>
      <c r="B62" t="s">
        <v>155</v>
      </c>
      <c r="C62" t="s">
        <v>13</v>
      </c>
      <c r="D62">
        <v>39</v>
      </c>
      <c r="E62" t="s">
        <v>14</v>
      </c>
      <c r="F62" t="s">
        <v>15</v>
      </c>
      <c r="G62" t="s">
        <v>50</v>
      </c>
      <c r="H62">
        <v>123320</v>
      </c>
      <c r="I62" t="s">
        <v>33</v>
      </c>
      <c r="J62" t="s">
        <v>18</v>
      </c>
      <c r="K62" s="1">
        <v>44878</v>
      </c>
      <c r="L62">
        <v>3</v>
      </c>
      <c r="M62" t="s">
        <v>1035</v>
      </c>
      <c r="N62">
        <v>2022</v>
      </c>
    </row>
    <row r="63" spans="1:14" x14ac:dyDescent="0.3">
      <c r="A63" t="s">
        <v>156</v>
      </c>
      <c r="B63" t="s">
        <v>157</v>
      </c>
      <c r="C63" t="s">
        <v>13</v>
      </c>
      <c r="D63">
        <v>68</v>
      </c>
      <c r="E63" t="s">
        <v>53</v>
      </c>
      <c r="F63" t="s">
        <v>41</v>
      </c>
      <c r="G63" t="s">
        <v>24</v>
      </c>
      <c r="H63">
        <v>108801</v>
      </c>
      <c r="I63" t="s">
        <v>33</v>
      </c>
      <c r="J63" t="s">
        <v>25</v>
      </c>
      <c r="K63" s="1">
        <v>45597</v>
      </c>
      <c r="L63">
        <v>1</v>
      </c>
      <c r="M63" t="s">
        <v>1038</v>
      </c>
      <c r="N63">
        <v>2024</v>
      </c>
    </row>
    <row r="64" spans="1:14" x14ac:dyDescent="0.3">
      <c r="A64" t="s">
        <v>158</v>
      </c>
      <c r="B64" t="s">
        <v>159</v>
      </c>
      <c r="C64" t="s">
        <v>13</v>
      </c>
      <c r="D64">
        <v>42</v>
      </c>
      <c r="E64" t="s">
        <v>14</v>
      </c>
      <c r="F64" t="s">
        <v>15</v>
      </c>
      <c r="G64" t="s">
        <v>45</v>
      </c>
      <c r="H64">
        <v>45931</v>
      </c>
      <c r="I64" t="s">
        <v>42</v>
      </c>
      <c r="J64" t="s">
        <v>18</v>
      </c>
      <c r="K64" s="1">
        <v>45042</v>
      </c>
      <c r="L64">
        <v>2</v>
      </c>
      <c r="M64" t="s">
        <v>1035</v>
      </c>
      <c r="N64">
        <v>2023</v>
      </c>
    </row>
    <row r="65" spans="1:14" x14ac:dyDescent="0.3">
      <c r="A65" t="s">
        <v>160</v>
      </c>
      <c r="B65" t="s">
        <v>161</v>
      </c>
      <c r="C65" t="s">
        <v>13</v>
      </c>
      <c r="D65">
        <v>39</v>
      </c>
      <c r="E65" t="s">
        <v>14</v>
      </c>
      <c r="F65" t="s">
        <v>37</v>
      </c>
      <c r="G65" t="s">
        <v>28</v>
      </c>
      <c r="H65">
        <v>114377</v>
      </c>
      <c r="I65" t="s">
        <v>33</v>
      </c>
      <c r="J65" t="s">
        <v>18</v>
      </c>
      <c r="K65" s="1">
        <v>44997</v>
      </c>
      <c r="L65">
        <v>3</v>
      </c>
      <c r="M65" t="s">
        <v>1035</v>
      </c>
      <c r="N65">
        <v>2023</v>
      </c>
    </row>
    <row r="66" spans="1:14" x14ac:dyDescent="0.3">
      <c r="A66" t="s">
        <v>162</v>
      </c>
      <c r="B66" t="s">
        <v>163</v>
      </c>
      <c r="C66" t="s">
        <v>13</v>
      </c>
      <c r="D66">
        <v>39</v>
      </c>
      <c r="E66" t="s">
        <v>14</v>
      </c>
      <c r="F66" t="s">
        <v>23</v>
      </c>
      <c r="G66" t="s">
        <v>16</v>
      </c>
      <c r="H66">
        <v>49192</v>
      </c>
      <c r="I66" t="s">
        <v>42</v>
      </c>
      <c r="J66" t="s">
        <v>18</v>
      </c>
      <c r="K66" s="1">
        <v>44119</v>
      </c>
      <c r="L66">
        <v>5</v>
      </c>
      <c r="M66" t="s">
        <v>1036</v>
      </c>
      <c r="N66">
        <v>2020</v>
      </c>
    </row>
    <row r="67" spans="1:14" x14ac:dyDescent="0.3">
      <c r="A67" t="s">
        <v>164</v>
      </c>
      <c r="B67" t="s">
        <v>165</v>
      </c>
      <c r="C67" t="s">
        <v>21</v>
      </c>
      <c r="D67">
        <v>66</v>
      </c>
      <c r="E67" t="s">
        <v>53</v>
      </c>
      <c r="F67" t="s">
        <v>37</v>
      </c>
      <c r="G67" t="s">
        <v>38</v>
      </c>
      <c r="H67">
        <v>66542</v>
      </c>
      <c r="I67" t="s">
        <v>42</v>
      </c>
      <c r="J67" t="s">
        <v>18</v>
      </c>
      <c r="K67" s="1">
        <v>43091</v>
      </c>
      <c r="L67">
        <v>8</v>
      </c>
      <c r="M67" t="s">
        <v>1037</v>
      </c>
      <c r="N67">
        <v>2017</v>
      </c>
    </row>
    <row r="68" spans="1:14" x14ac:dyDescent="0.3">
      <c r="A68" t="s">
        <v>166</v>
      </c>
      <c r="B68" t="s">
        <v>167</v>
      </c>
      <c r="C68" t="s">
        <v>21</v>
      </c>
      <c r="D68">
        <v>69</v>
      </c>
      <c r="E68" t="s">
        <v>53</v>
      </c>
      <c r="F68" t="s">
        <v>41</v>
      </c>
      <c r="G68" t="s">
        <v>28</v>
      </c>
      <c r="H68">
        <v>147015</v>
      </c>
      <c r="I68" t="s">
        <v>33</v>
      </c>
      <c r="J68" t="s">
        <v>18</v>
      </c>
      <c r="K68" s="1">
        <v>44996</v>
      </c>
      <c r="L68">
        <v>3</v>
      </c>
      <c r="M68" t="s">
        <v>1035</v>
      </c>
      <c r="N68">
        <v>2023</v>
      </c>
    </row>
    <row r="69" spans="1:14" x14ac:dyDescent="0.3">
      <c r="A69" t="s">
        <v>168</v>
      </c>
      <c r="B69" t="s">
        <v>169</v>
      </c>
      <c r="C69" t="s">
        <v>13</v>
      </c>
      <c r="D69">
        <v>59</v>
      </c>
      <c r="E69" t="s">
        <v>22</v>
      </c>
      <c r="F69" t="s">
        <v>23</v>
      </c>
      <c r="G69" t="s">
        <v>50</v>
      </c>
      <c r="H69">
        <v>62520</v>
      </c>
      <c r="I69" t="s">
        <v>42</v>
      </c>
      <c r="J69" t="s">
        <v>18</v>
      </c>
      <c r="K69" s="1">
        <v>43069</v>
      </c>
      <c r="L69">
        <v>8</v>
      </c>
      <c r="M69" t="s">
        <v>1037</v>
      </c>
      <c r="N69">
        <v>2017</v>
      </c>
    </row>
    <row r="70" spans="1:14" x14ac:dyDescent="0.3">
      <c r="A70" t="s">
        <v>170</v>
      </c>
      <c r="B70" t="s">
        <v>171</v>
      </c>
      <c r="C70" t="s">
        <v>21</v>
      </c>
      <c r="D70">
        <v>23</v>
      </c>
      <c r="E70" t="s">
        <v>36</v>
      </c>
      <c r="F70" t="s">
        <v>41</v>
      </c>
      <c r="G70" t="s">
        <v>28</v>
      </c>
      <c r="H70">
        <v>84772</v>
      </c>
      <c r="I70" t="s">
        <v>42</v>
      </c>
      <c r="J70" t="s">
        <v>18</v>
      </c>
      <c r="K70" s="1">
        <v>43341</v>
      </c>
      <c r="L70">
        <v>7</v>
      </c>
      <c r="M70" t="s">
        <v>1036</v>
      </c>
      <c r="N70">
        <v>2018</v>
      </c>
    </row>
    <row r="71" spans="1:14" x14ac:dyDescent="0.3">
      <c r="A71" t="s">
        <v>172</v>
      </c>
      <c r="B71" t="s">
        <v>173</v>
      </c>
      <c r="C71" t="s">
        <v>21</v>
      </c>
      <c r="D71">
        <v>32</v>
      </c>
      <c r="E71" t="s">
        <v>14</v>
      </c>
      <c r="F71" t="s">
        <v>23</v>
      </c>
      <c r="G71" t="s">
        <v>16</v>
      </c>
      <c r="H71">
        <v>70106</v>
      </c>
      <c r="I71" t="s">
        <v>42</v>
      </c>
      <c r="J71" t="s">
        <v>18</v>
      </c>
      <c r="K71" s="1">
        <v>45477</v>
      </c>
      <c r="L71">
        <v>1</v>
      </c>
      <c r="M71" t="s">
        <v>1038</v>
      </c>
      <c r="N71">
        <v>2024</v>
      </c>
    </row>
    <row r="72" spans="1:14" x14ac:dyDescent="0.3">
      <c r="A72" t="s">
        <v>174</v>
      </c>
      <c r="B72" t="s">
        <v>175</v>
      </c>
      <c r="C72" t="s">
        <v>21</v>
      </c>
      <c r="D72">
        <v>71</v>
      </c>
      <c r="E72" t="s">
        <v>53</v>
      </c>
      <c r="F72" t="s">
        <v>15</v>
      </c>
      <c r="G72" t="s">
        <v>28</v>
      </c>
      <c r="H72">
        <v>101121</v>
      </c>
      <c r="I72" t="s">
        <v>33</v>
      </c>
      <c r="J72" t="s">
        <v>25</v>
      </c>
      <c r="K72" s="1">
        <v>45815</v>
      </c>
      <c r="L72">
        <v>0</v>
      </c>
      <c r="M72" t="s">
        <v>1038</v>
      </c>
      <c r="N72">
        <v>2025</v>
      </c>
    </row>
    <row r="73" spans="1:14" x14ac:dyDescent="0.3">
      <c r="A73" t="s">
        <v>176</v>
      </c>
      <c r="B73" t="s">
        <v>177</v>
      </c>
      <c r="C73" t="s">
        <v>21</v>
      </c>
      <c r="D73">
        <v>60</v>
      </c>
      <c r="E73" t="s">
        <v>22</v>
      </c>
      <c r="F73" t="s">
        <v>15</v>
      </c>
      <c r="G73" t="s">
        <v>16</v>
      </c>
      <c r="H73">
        <v>45559</v>
      </c>
      <c r="I73" t="s">
        <v>42</v>
      </c>
      <c r="J73" t="s">
        <v>25</v>
      </c>
      <c r="K73" s="1">
        <v>42457</v>
      </c>
      <c r="L73">
        <v>10</v>
      </c>
      <c r="M73" t="s">
        <v>1037</v>
      </c>
      <c r="N73">
        <v>2016</v>
      </c>
    </row>
    <row r="74" spans="1:14" x14ac:dyDescent="0.3">
      <c r="A74" t="s">
        <v>178</v>
      </c>
      <c r="B74" t="s">
        <v>179</v>
      </c>
      <c r="C74" t="s">
        <v>13</v>
      </c>
      <c r="D74">
        <v>54</v>
      </c>
      <c r="E74" t="s">
        <v>22</v>
      </c>
      <c r="F74" t="s">
        <v>15</v>
      </c>
      <c r="G74" t="s">
        <v>45</v>
      </c>
      <c r="H74">
        <v>125595</v>
      </c>
      <c r="I74" t="s">
        <v>33</v>
      </c>
      <c r="J74" t="s">
        <v>25</v>
      </c>
      <c r="K74" s="1">
        <v>43929</v>
      </c>
      <c r="L74">
        <v>6</v>
      </c>
      <c r="M74" t="s">
        <v>1036</v>
      </c>
      <c r="N74">
        <v>2020</v>
      </c>
    </row>
    <row r="75" spans="1:14" x14ac:dyDescent="0.3">
      <c r="A75" t="s">
        <v>180</v>
      </c>
      <c r="B75" t="s">
        <v>181</v>
      </c>
      <c r="C75" t="s">
        <v>21</v>
      </c>
      <c r="D75">
        <v>50</v>
      </c>
      <c r="E75" t="s">
        <v>22</v>
      </c>
      <c r="F75" t="s">
        <v>37</v>
      </c>
      <c r="G75" t="s">
        <v>16</v>
      </c>
      <c r="H75">
        <v>53742</v>
      </c>
      <c r="I75" t="s">
        <v>42</v>
      </c>
      <c r="J75" t="s">
        <v>25</v>
      </c>
      <c r="K75" s="1">
        <v>45677</v>
      </c>
      <c r="L75">
        <v>1</v>
      </c>
      <c r="M75" t="s">
        <v>1038</v>
      </c>
      <c r="N75">
        <v>2025</v>
      </c>
    </row>
    <row r="76" spans="1:14" x14ac:dyDescent="0.3">
      <c r="A76" t="s">
        <v>182</v>
      </c>
      <c r="B76" t="s">
        <v>183</v>
      </c>
      <c r="C76" t="s">
        <v>13</v>
      </c>
      <c r="D76">
        <v>25</v>
      </c>
      <c r="E76" t="s">
        <v>36</v>
      </c>
      <c r="F76" t="s">
        <v>41</v>
      </c>
      <c r="G76" t="s">
        <v>16</v>
      </c>
      <c r="H76">
        <v>89669</v>
      </c>
      <c r="I76" t="s">
        <v>42</v>
      </c>
      <c r="J76" t="s">
        <v>29</v>
      </c>
      <c r="K76" s="1">
        <v>43309</v>
      </c>
      <c r="L76">
        <v>7</v>
      </c>
      <c r="M76" t="s">
        <v>1036</v>
      </c>
      <c r="N76">
        <v>2018</v>
      </c>
    </row>
    <row r="77" spans="1:14" x14ac:dyDescent="0.3">
      <c r="A77" t="s">
        <v>184</v>
      </c>
      <c r="B77" t="s">
        <v>185</v>
      </c>
      <c r="C77" t="s">
        <v>21</v>
      </c>
      <c r="D77">
        <v>70</v>
      </c>
      <c r="E77" t="s">
        <v>53</v>
      </c>
      <c r="F77" t="s">
        <v>37</v>
      </c>
      <c r="G77" t="s">
        <v>24</v>
      </c>
      <c r="H77">
        <v>172826</v>
      </c>
      <c r="I77" t="s">
        <v>17</v>
      </c>
      <c r="J77" t="s">
        <v>18</v>
      </c>
      <c r="K77" s="1">
        <v>42917</v>
      </c>
      <c r="L77">
        <v>8</v>
      </c>
      <c r="M77" t="s">
        <v>1037</v>
      </c>
      <c r="N77">
        <v>2017</v>
      </c>
    </row>
    <row r="78" spans="1:14" x14ac:dyDescent="0.3">
      <c r="A78" t="s">
        <v>186</v>
      </c>
      <c r="B78" t="s">
        <v>187</v>
      </c>
      <c r="C78" t="s">
        <v>21</v>
      </c>
      <c r="D78">
        <v>61</v>
      </c>
      <c r="E78" t="s">
        <v>53</v>
      </c>
      <c r="F78" t="s">
        <v>15</v>
      </c>
      <c r="G78" t="s">
        <v>16</v>
      </c>
      <c r="H78">
        <v>155044</v>
      </c>
      <c r="I78" t="s">
        <v>17</v>
      </c>
      <c r="J78" t="s">
        <v>18</v>
      </c>
      <c r="K78" s="1">
        <v>44584</v>
      </c>
      <c r="L78">
        <v>4</v>
      </c>
      <c r="M78" t="s">
        <v>1036</v>
      </c>
      <c r="N78">
        <v>2022</v>
      </c>
    </row>
    <row r="79" spans="1:14" x14ac:dyDescent="0.3">
      <c r="A79" t="s">
        <v>188</v>
      </c>
      <c r="B79" t="s">
        <v>189</v>
      </c>
      <c r="C79" t="s">
        <v>21</v>
      </c>
      <c r="D79">
        <v>61</v>
      </c>
      <c r="E79" t="s">
        <v>53</v>
      </c>
      <c r="F79" t="s">
        <v>41</v>
      </c>
      <c r="G79" t="s">
        <v>16</v>
      </c>
      <c r="H79">
        <v>90831</v>
      </c>
      <c r="I79" t="s">
        <v>42</v>
      </c>
      <c r="J79" t="s">
        <v>18</v>
      </c>
      <c r="K79" s="1">
        <v>43302</v>
      </c>
      <c r="L79">
        <v>7</v>
      </c>
      <c r="M79" t="s">
        <v>1036</v>
      </c>
      <c r="N79">
        <v>2018</v>
      </c>
    </row>
    <row r="80" spans="1:14" x14ac:dyDescent="0.3">
      <c r="A80" t="s">
        <v>190</v>
      </c>
      <c r="B80" t="s">
        <v>191</v>
      </c>
      <c r="C80" t="s">
        <v>13</v>
      </c>
      <c r="D80">
        <v>22</v>
      </c>
      <c r="E80" t="s">
        <v>36</v>
      </c>
      <c r="F80" t="s">
        <v>15</v>
      </c>
      <c r="G80" t="s">
        <v>38</v>
      </c>
      <c r="H80">
        <v>132217</v>
      </c>
      <c r="I80" t="s">
        <v>33</v>
      </c>
      <c r="J80" t="s">
        <v>25</v>
      </c>
      <c r="K80" s="1">
        <v>44565</v>
      </c>
      <c r="L80">
        <v>4</v>
      </c>
      <c r="M80" t="s">
        <v>1036</v>
      </c>
      <c r="N80">
        <v>2022</v>
      </c>
    </row>
    <row r="81" spans="1:14" x14ac:dyDescent="0.3">
      <c r="A81" t="s">
        <v>192</v>
      </c>
      <c r="B81" t="s">
        <v>193</v>
      </c>
      <c r="C81" t="s">
        <v>21</v>
      </c>
      <c r="D81">
        <v>56</v>
      </c>
      <c r="E81" t="s">
        <v>22</v>
      </c>
      <c r="F81" t="s">
        <v>37</v>
      </c>
      <c r="G81" t="s">
        <v>45</v>
      </c>
      <c r="H81">
        <v>61873</v>
      </c>
      <c r="I81" t="s">
        <v>42</v>
      </c>
      <c r="J81" t="s">
        <v>25</v>
      </c>
      <c r="K81" s="1">
        <v>43200</v>
      </c>
      <c r="L81">
        <v>8</v>
      </c>
      <c r="M81" t="s">
        <v>1037</v>
      </c>
      <c r="N81">
        <v>2018</v>
      </c>
    </row>
    <row r="82" spans="1:14" x14ac:dyDescent="0.3">
      <c r="A82" t="s">
        <v>194</v>
      </c>
      <c r="B82" t="s">
        <v>195</v>
      </c>
      <c r="C82" t="s">
        <v>13</v>
      </c>
      <c r="D82">
        <v>21</v>
      </c>
      <c r="E82" t="s">
        <v>36</v>
      </c>
      <c r="F82" t="s">
        <v>37</v>
      </c>
      <c r="G82" t="s">
        <v>50</v>
      </c>
      <c r="H82">
        <v>126532</v>
      </c>
      <c r="I82" t="s">
        <v>33</v>
      </c>
      <c r="J82" t="s">
        <v>18</v>
      </c>
      <c r="K82" s="1">
        <v>45011</v>
      </c>
      <c r="L82">
        <v>3</v>
      </c>
      <c r="M82" t="s">
        <v>1035</v>
      </c>
      <c r="N82">
        <v>2023</v>
      </c>
    </row>
    <row r="83" spans="1:14" x14ac:dyDescent="0.3">
      <c r="A83" t="s">
        <v>196</v>
      </c>
      <c r="B83" t="s">
        <v>197</v>
      </c>
      <c r="C83" t="s">
        <v>21</v>
      </c>
      <c r="D83">
        <v>23</v>
      </c>
      <c r="E83" t="s">
        <v>36</v>
      </c>
      <c r="F83" t="s">
        <v>37</v>
      </c>
      <c r="G83" t="s">
        <v>24</v>
      </c>
      <c r="H83">
        <v>146267</v>
      </c>
      <c r="I83" t="s">
        <v>33</v>
      </c>
      <c r="J83" t="s">
        <v>29</v>
      </c>
      <c r="K83" s="1">
        <v>45791</v>
      </c>
      <c r="L83">
        <v>0</v>
      </c>
      <c r="M83" t="s">
        <v>1038</v>
      </c>
      <c r="N83">
        <v>2025</v>
      </c>
    </row>
    <row r="84" spans="1:14" x14ac:dyDescent="0.3">
      <c r="A84" t="s">
        <v>198</v>
      </c>
      <c r="B84" t="s">
        <v>199</v>
      </c>
      <c r="C84" t="s">
        <v>13</v>
      </c>
      <c r="D84">
        <v>62</v>
      </c>
      <c r="E84" t="s">
        <v>53</v>
      </c>
      <c r="F84" t="s">
        <v>15</v>
      </c>
      <c r="G84" t="s">
        <v>38</v>
      </c>
      <c r="H84">
        <v>160975</v>
      </c>
      <c r="I84" t="s">
        <v>17</v>
      </c>
      <c r="J84" t="s">
        <v>18</v>
      </c>
      <c r="K84" s="1">
        <v>44302</v>
      </c>
      <c r="L84">
        <v>5</v>
      </c>
      <c r="M84" t="s">
        <v>1036</v>
      </c>
      <c r="N84">
        <v>2021</v>
      </c>
    </row>
    <row r="85" spans="1:14" x14ac:dyDescent="0.3">
      <c r="A85" t="s">
        <v>200</v>
      </c>
      <c r="B85" t="s">
        <v>201</v>
      </c>
      <c r="C85" t="s">
        <v>21</v>
      </c>
      <c r="D85">
        <v>49</v>
      </c>
      <c r="E85" t="s">
        <v>22</v>
      </c>
      <c r="F85" t="s">
        <v>41</v>
      </c>
      <c r="G85" t="s">
        <v>32</v>
      </c>
      <c r="H85">
        <v>154092</v>
      </c>
      <c r="I85" t="s">
        <v>17</v>
      </c>
      <c r="J85" t="s">
        <v>29</v>
      </c>
      <c r="K85" s="1">
        <v>44288</v>
      </c>
      <c r="L85">
        <v>5</v>
      </c>
      <c r="M85" t="s">
        <v>1036</v>
      </c>
      <c r="N85">
        <v>2021</v>
      </c>
    </row>
    <row r="86" spans="1:14" x14ac:dyDescent="0.3">
      <c r="A86" t="s">
        <v>202</v>
      </c>
      <c r="B86" t="s">
        <v>203</v>
      </c>
      <c r="C86" t="s">
        <v>13</v>
      </c>
      <c r="D86">
        <v>69</v>
      </c>
      <c r="E86" t="s">
        <v>53</v>
      </c>
      <c r="F86" t="s">
        <v>41</v>
      </c>
      <c r="G86" t="s">
        <v>45</v>
      </c>
      <c r="H86">
        <v>61755</v>
      </c>
      <c r="I86" t="s">
        <v>42</v>
      </c>
      <c r="J86" t="s">
        <v>18</v>
      </c>
      <c r="K86" s="1">
        <v>43838</v>
      </c>
      <c r="L86">
        <v>6</v>
      </c>
      <c r="M86" t="s">
        <v>1036</v>
      </c>
      <c r="N86">
        <v>2020</v>
      </c>
    </row>
    <row r="87" spans="1:14" x14ac:dyDescent="0.3">
      <c r="A87" t="s">
        <v>204</v>
      </c>
      <c r="B87" t="s">
        <v>205</v>
      </c>
      <c r="C87" t="s">
        <v>13</v>
      </c>
      <c r="D87">
        <v>47</v>
      </c>
      <c r="E87" t="s">
        <v>22</v>
      </c>
      <c r="F87" t="s">
        <v>15</v>
      </c>
      <c r="G87" t="s">
        <v>45</v>
      </c>
      <c r="H87">
        <v>105956</v>
      </c>
      <c r="I87" t="s">
        <v>33</v>
      </c>
      <c r="J87" t="s">
        <v>18</v>
      </c>
      <c r="K87" s="1">
        <v>44285</v>
      </c>
      <c r="L87">
        <v>5</v>
      </c>
      <c r="M87" t="s">
        <v>1036</v>
      </c>
      <c r="N87">
        <v>2021</v>
      </c>
    </row>
    <row r="88" spans="1:14" x14ac:dyDescent="0.3">
      <c r="A88" t="s">
        <v>206</v>
      </c>
      <c r="B88" t="s">
        <v>207</v>
      </c>
      <c r="C88" t="s">
        <v>21</v>
      </c>
      <c r="D88">
        <v>64</v>
      </c>
      <c r="E88" t="s">
        <v>53</v>
      </c>
      <c r="F88" t="s">
        <v>41</v>
      </c>
      <c r="G88" t="s">
        <v>32</v>
      </c>
      <c r="H88">
        <v>106988</v>
      </c>
      <c r="I88" t="s">
        <v>33</v>
      </c>
      <c r="J88" t="s">
        <v>18</v>
      </c>
      <c r="K88" s="1">
        <v>45811</v>
      </c>
      <c r="L88">
        <v>0</v>
      </c>
      <c r="M88" t="s">
        <v>1038</v>
      </c>
      <c r="N88">
        <v>2025</v>
      </c>
    </row>
    <row r="89" spans="1:14" x14ac:dyDescent="0.3">
      <c r="A89" t="s">
        <v>208</v>
      </c>
      <c r="B89" t="s">
        <v>209</v>
      </c>
      <c r="C89" t="s">
        <v>13</v>
      </c>
      <c r="D89">
        <v>52</v>
      </c>
      <c r="E89" t="s">
        <v>22</v>
      </c>
      <c r="F89" t="s">
        <v>15</v>
      </c>
      <c r="G89" t="s">
        <v>50</v>
      </c>
      <c r="H89">
        <v>65648</v>
      </c>
      <c r="I89" t="s">
        <v>42</v>
      </c>
      <c r="J89" t="s">
        <v>18</v>
      </c>
      <c r="K89" s="1">
        <v>43744</v>
      </c>
      <c r="L89">
        <v>6</v>
      </c>
      <c r="M89" t="s">
        <v>1036</v>
      </c>
      <c r="N89">
        <v>2019</v>
      </c>
    </row>
    <row r="90" spans="1:14" x14ac:dyDescent="0.3">
      <c r="A90" t="s">
        <v>210</v>
      </c>
      <c r="B90" t="s">
        <v>211</v>
      </c>
      <c r="C90" t="s">
        <v>21</v>
      </c>
      <c r="D90">
        <v>72</v>
      </c>
      <c r="E90" t="s">
        <v>53</v>
      </c>
      <c r="F90" t="s">
        <v>41</v>
      </c>
      <c r="G90" t="s">
        <v>16</v>
      </c>
      <c r="H90">
        <v>145991</v>
      </c>
      <c r="I90" t="s">
        <v>33</v>
      </c>
      <c r="J90" t="s">
        <v>18</v>
      </c>
      <c r="K90" s="1">
        <v>44205</v>
      </c>
      <c r="L90">
        <v>5</v>
      </c>
      <c r="M90" t="s">
        <v>1036</v>
      </c>
      <c r="N90">
        <v>2021</v>
      </c>
    </row>
    <row r="91" spans="1:14" x14ac:dyDescent="0.3">
      <c r="A91" t="s">
        <v>212</v>
      </c>
      <c r="B91" t="s">
        <v>213</v>
      </c>
      <c r="C91" t="s">
        <v>21</v>
      </c>
      <c r="D91">
        <v>57</v>
      </c>
      <c r="E91" t="s">
        <v>22</v>
      </c>
      <c r="F91" t="s">
        <v>23</v>
      </c>
      <c r="G91" t="s">
        <v>38</v>
      </c>
      <c r="H91">
        <v>160588</v>
      </c>
      <c r="I91" t="s">
        <v>17</v>
      </c>
      <c r="J91" t="s">
        <v>18</v>
      </c>
      <c r="K91" s="1">
        <v>42239</v>
      </c>
      <c r="L91">
        <v>10</v>
      </c>
      <c r="M91" t="s">
        <v>1037</v>
      </c>
      <c r="N91">
        <v>2015</v>
      </c>
    </row>
    <row r="92" spans="1:14" x14ac:dyDescent="0.3">
      <c r="A92" t="s">
        <v>214</v>
      </c>
      <c r="B92" t="s">
        <v>215</v>
      </c>
      <c r="C92" t="s">
        <v>21</v>
      </c>
      <c r="D92">
        <v>69</v>
      </c>
      <c r="E92" t="s">
        <v>53</v>
      </c>
      <c r="F92" t="s">
        <v>23</v>
      </c>
      <c r="G92" t="s">
        <v>28</v>
      </c>
      <c r="H92">
        <v>135005</v>
      </c>
      <c r="I92" t="s">
        <v>33</v>
      </c>
      <c r="J92" t="s">
        <v>25</v>
      </c>
      <c r="K92" s="1">
        <v>44775</v>
      </c>
      <c r="L92">
        <v>3</v>
      </c>
      <c r="M92" t="s">
        <v>1035</v>
      </c>
      <c r="N92">
        <v>2022</v>
      </c>
    </row>
    <row r="93" spans="1:14" x14ac:dyDescent="0.3">
      <c r="A93" t="s">
        <v>216</v>
      </c>
      <c r="B93" t="s">
        <v>217</v>
      </c>
      <c r="C93" t="s">
        <v>21</v>
      </c>
      <c r="D93">
        <v>33</v>
      </c>
      <c r="E93" t="s">
        <v>14</v>
      </c>
      <c r="F93" t="s">
        <v>37</v>
      </c>
      <c r="G93" t="s">
        <v>24</v>
      </c>
      <c r="H93">
        <v>22396</v>
      </c>
      <c r="I93" t="s">
        <v>42</v>
      </c>
      <c r="J93" t="s">
        <v>18</v>
      </c>
      <c r="K93" s="1">
        <v>42531</v>
      </c>
      <c r="L93">
        <v>9</v>
      </c>
      <c r="M93" t="s">
        <v>1037</v>
      </c>
      <c r="N93">
        <v>2016</v>
      </c>
    </row>
    <row r="94" spans="1:14" x14ac:dyDescent="0.3">
      <c r="A94" t="s">
        <v>218</v>
      </c>
      <c r="B94" t="s">
        <v>219</v>
      </c>
      <c r="C94" t="s">
        <v>21</v>
      </c>
      <c r="D94">
        <v>30</v>
      </c>
      <c r="E94" t="s">
        <v>14</v>
      </c>
      <c r="F94" t="s">
        <v>23</v>
      </c>
      <c r="G94" t="s">
        <v>28</v>
      </c>
      <c r="H94">
        <v>104082</v>
      </c>
      <c r="I94" t="s">
        <v>33</v>
      </c>
      <c r="J94" t="s">
        <v>18</v>
      </c>
      <c r="K94" s="1">
        <v>43102</v>
      </c>
      <c r="L94">
        <v>8</v>
      </c>
      <c r="M94" t="s">
        <v>1037</v>
      </c>
      <c r="N94">
        <v>2018</v>
      </c>
    </row>
    <row r="95" spans="1:14" x14ac:dyDescent="0.3">
      <c r="A95" t="s">
        <v>220</v>
      </c>
      <c r="B95" t="s">
        <v>221</v>
      </c>
      <c r="C95" t="s">
        <v>21</v>
      </c>
      <c r="D95">
        <v>67</v>
      </c>
      <c r="E95" t="s">
        <v>53</v>
      </c>
      <c r="F95" t="s">
        <v>23</v>
      </c>
      <c r="G95" t="s">
        <v>32</v>
      </c>
      <c r="H95">
        <v>170201</v>
      </c>
      <c r="I95" t="s">
        <v>17</v>
      </c>
      <c r="J95" t="s">
        <v>25</v>
      </c>
      <c r="K95" s="1">
        <v>45234</v>
      </c>
      <c r="L95">
        <v>2</v>
      </c>
      <c r="M95" t="s">
        <v>1035</v>
      </c>
      <c r="N95">
        <v>2023</v>
      </c>
    </row>
    <row r="96" spans="1:14" x14ac:dyDescent="0.3">
      <c r="A96" t="s">
        <v>222</v>
      </c>
      <c r="B96" t="s">
        <v>223</v>
      </c>
      <c r="C96" t="s">
        <v>21</v>
      </c>
      <c r="D96">
        <v>59</v>
      </c>
      <c r="E96" t="s">
        <v>22</v>
      </c>
      <c r="F96" t="s">
        <v>23</v>
      </c>
      <c r="G96" t="s">
        <v>45</v>
      </c>
      <c r="H96">
        <v>148322</v>
      </c>
      <c r="I96" t="s">
        <v>33</v>
      </c>
      <c r="J96" t="s">
        <v>25</v>
      </c>
      <c r="K96" s="1">
        <v>44381</v>
      </c>
      <c r="L96">
        <v>4</v>
      </c>
      <c r="M96" t="s">
        <v>1036</v>
      </c>
      <c r="N96">
        <v>2021</v>
      </c>
    </row>
    <row r="97" spans="1:14" x14ac:dyDescent="0.3">
      <c r="A97" t="s">
        <v>224</v>
      </c>
      <c r="B97" t="s">
        <v>225</v>
      </c>
      <c r="C97" t="s">
        <v>21</v>
      </c>
      <c r="D97">
        <v>47</v>
      </c>
      <c r="E97" t="s">
        <v>22</v>
      </c>
      <c r="F97" t="s">
        <v>15</v>
      </c>
      <c r="G97" t="s">
        <v>50</v>
      </c>
      <c r="H97">
        <v>152663</v>
      </c>
      <c r="I97" t="s">
        <v>17</v>
      </c>
      <c r="J97" t="s">
        <v>18</v>
      </c>
      <c r="K97" s="1">
        <v>42976</v>
      </c>
      <c r="L97">
        <v>8</v>
      </c>
      <c r="M97" t="s">
        <v>1037</v>
      </c>
      <c r="N97">
        <v>2017</v>
      </c>
    </row>
    <row r="98" spans="1:14" x14ac:dyDescent="0.3">
      <c r="A98" t="s">
        <v>226</v>
      </c>
      <c r="B98" t="s">
        <v>227</v>
      </c>
      <c r="C98" t="s">
        <v>21</v>
      </c>
      <c r="D98">
        <v>36</v>
      </c>
      <c r="E98" t="s">
        <v>14</v>
      </c>
      <c r="F98" t="s">
        <v>23</v>
      </c>
      <c r="G98" t="s">
        <v>45</v>
      </c>
      <c r="H98">
        <v>31303</v>
      </c>
      <c r="I98" t="s">
        <v>42</v>
      </c>
      <c r="J98" t="s">
        <v>18</v>
      </c>
      <c r="K98" s="1">
        <v>43091</v>
      </c>
      <c r="L98">
        <v>8</v>
      </c>
      <c r="M98" t="s">
        <v>1037</v>
      </c>
      <c r="N98">
        <v>2017</v>
      </c>
    </row>
    <row r="99" spans="1:14" x14ac:dyDescent="0.3">
      <c r="A99" t="s">
        <v>228</v>
      </c>
      <c r="B99" t="s">
        <v>229</v>
      </c>
      <c r="C99" t="s">
        <v>21</v>
      </c>
      <c r="D99">
        <v>34</v>
      </c>
      <c r="E99" t="s">
        <v>14</v>
      </c>
      <c r="F99" t="s">
        <v>23</v>
      </c>
      <c r="G99" t="s">
        <v>24</v>
      </c>
      <c r="H99">
        <v>181633</v>
      </c>
      <c r="I99" t="s">
        <v>17</v>
      </c>
      <c r="J99" t="s">
        <v>18</v>
      </c>
      <c r="K99" s="1">
        <v>45099</v>
      </c>
      <c r="L99">
        <v>2</v>
      </c>
      <c r="M99" t="s">
        <v>1035</v>
      </c>
      <c r="N99">
        <v>2023</v>
      </c>
    </row>
    <row r="100" spans="1:14" x14ac:dyDescent="0.3">
      <c r="A100" t="s">
        <v>230</v>
      </c>
      <c r="B100" t="s">
        <v>231</v>
      </c>
      <c r="C100" t="s">
        <v>21</v>
      </c>
      <c r="D100">
        <v>73</v>
      </c>
      <c r="E100" t="s">
        <v>53</v>
      </c>
      <c r="F100" t="s">
        <v>37</v>
      </c>
      <c r="G100" t="s">
        <v>45</v>
      </c>
      <c r="H100">
        <v>91719</v>
      </c>
      <c r="I100" t="s">
        <v>42</v>
      </c>
      <c r="J100" t="s">
        <v>18</v>
      </c>
      <c r="K100" s="1">
        <v>44154</v>
      </c>
      <c r="L100">
        <v>5</v>
      </c>
      <c r="M100" t="s">
        <v>1036</v>
      </c>
      <c r="N100">
        <v>2020</v>
      </c>
    </row>
    <row r="101" spans="1:14" x14ac:dyDescent="0.3">
      <c r="A101" t="s">
        <v>232</v>
      </c>
      <c r="B101" t="s">
        <v>233</v>
      </c>
      <c r="C101" t="s">
        <v>13</v>
      </c>
      <c r="D101">
        <v>36</v>
      </c>
      <c r="E101" t="s">
        <v>14</v>
      </c>
      <c r="F101" t="s">
        <v>23</v>
      </c>
      <c r="G101" t="s">
        <v>45</v>
      </c>
      <c r="H101">
        <v>119616</v>
      </c>
      <c r="I101" t="s">
        <v>33</v>
      </c>
      <c r="J101" t="s">
        <v>25</v>
      </c>
      <c r="K101" s="1">
        <v>44942</v>
      </c>
      <c r="L101">
        <v>3</v>
      </c>
      <c r="M101" t="s">
        <v>1035</v>
      </c>
      <c r="N101">
        <v>2023</v>
      </c>
    </row>
    <row r="102" spans="1:14" x14ac:dyDescent="0.3">
      <c r="A102" t="s">
        <v>234</v>
      </c>
      <c r="B102" t="s">
        <v>235</v>
      </c>
      <c r="C102" t="s">
        <v>13</v>
      </c>
      <c r="D102">
        <v>45</v>
      </c>
      <c r="E102" t="s">
        <v>22</v>
      </c>
      <c r="F102" t="s">
        <v>23</v>
      </c>
      <c r="G102" t="s">
        <v>24</v>
      </c>
      <c r="H102">
        <v>144165</v>
      </c>
      <c r="I102" t="s">
        <v>33</v>
      </c>
      <c r="J102" t="s">
        <v>18</v>
      </c>
      <c r="K102" s="1">
        <v>44018</v>
      </c>
      <c r="L102">
        <v>5</v>
      </c>
      <c r="M102" t="s">
        <v>1036</v>
      </c>
      <c r="N102">
        <v>2020</v>
      </c>
    </row>
    <row r="103" spans="1:14" x14ac:dyDescent="0.3">
      <c r="A103" t="s">
        <v>236</v>
      </c>
      <c r="B103" t="s">
        <v>237</v>
      </c>
      <c r="C103" t="s">
        <v>21</v>
      </c>
      <c r="D103">
        <v>72</v>
      </c>
      <c r="E103" t="s">
        <v>53</v>
      </c>
      <c r="F103" t="s">
        <v>41</v>
      </c>
      <c r="G103" t="s">
        <v>38</v>
      </c>
      <c r="H103">
        <v>106231</v>
      </c>
      <c r="I103" t="s">
        <v>33</v>
      </c>
      <c r="J103" t="s">
        <v>18</v>
      </c>
      <c r="K103" s="1">
        <v>44560</v>
      </c>
      <c r="L103">
        <v>4</v>
      </c>
      <c r="M103" t="s">
        <v>1036</v>
      </c>
      <c r="N103">
        <v>2021</v>
      </c>
    </row>
    <row r="104" spans="1:14" x14ac:dyDescent="0.3">
      <c r="A104" t="s">
        <v>238</v>
      </c>
      <c r="B104" t="s">
        <v>239</v>
      </c>
      <c r="C104" t="s">
        <v>21</v>
      </c>
      <c r="D104">
        <v>43</v>
      </c>
      <c r="E104" t="s">
        <v>14</v>
      </c>
      <c r="F104" t="s">
        <v>37</v>
      </c>
      <c r="G104" t="s">
        <v>38</v>
      </c>
      <c r="H104">
        <v>27314</v>
      </c>
      <c r="I104" t="s">
        <v>42</v>
      </c>
      <c r="J104" t="s">
        <v>25</v>
      </c>
      <c r="K104" s="1">
        <v>44706</v>
      </c>
      <c r="L104">
        <v>3</v>
      </c>
      <c r="M104" t="s">
        <v>1035</v>
      </c>
      <c r="N104">
        <v>2022</v>
      </c>
    </row>
    <row r="105" spans="1:14" x14ac:dyDescent="0.3">
      <c r="A105" t="s">
        <v>240</v>
      </c>
      <c r="B105" t="s">
        <v>241</v>
      </c>
      <c r="C105" t="s">
        <v>21</v>
      </c>
      <c r="D105">
        <v>54</v>
      </c>
      <c r="E105" t="s">
        <v>22</v>
      </c>
      <c r="F105" t="s">
        <v>37</v>
      </c>
      <c r="G105" t="s">
        <v>24</v>
      </c>
      <c r="H105">
        <v>39623</v>
      </c>
      <c r="I105" t="s">
        <v>42</v>
      </c>
      <c r="J105" t="s">
        <v>18</v>
      </c>
      <c r="K105" s="1">
        <v>42645</v>
      </c>
      <c r="L105">
        <v>9</v>
      </c>
      <c r="M105" t="s">
        <v>1037</v>
      </c>
      <c r="N105">
        <v>2016</v>
      </c>
    </row>
    <row r="106" spans="1:14" x14ac:dyDescent="0.3">
      <c r="A106" t="s">
        <v>242</v>
      </c>
      <c r="B106" t="s">
        <v>243</v>
      </c>
      <c r="C106" t="s">
        <v>21</v>
      </c>
      <c r="D106">
        <v>43</v>
      </c>
      <c r="E106" t="s">
        <v>14</v>
      </c>
      <c r="F106" t="s">
        <v>37</v>
      </c>
      <c r="G106" t="s">
        <v>50</v>
      </c>
      <c r="H106">
        <v>125228</v>
      </c>
      <c r="I106" t="s">
        <v>33</v>
      </c>
      <c r="J106" t="s">
        <v>18</v>
      </c>
      <c r="K106" s="1">
        <v>45748</v>
      </c>
      <c r="L106">
        <v>1</v>
      </c>
      <c r="M106" t="s">
        <v>1038</v>
      </c>
      <c r="N106">
        <v>2025</v>
      </c>
    </row>
    <row r="107" spans="1:14" x14ac:dyDescent="0.3">
      <c r="A107" t="s">
        <v>244</v>
      </c>
      <c r="B107" t="s">
        <v>245</v>
      </c>
      <c r="C107" t="s">
        <v>21</v>
      </c>
      <c r="D107">
        <v>70</v>
      </c>
      <c r="E107" t="s">
        <v>53</v>
      </c>
      <c r="F107" t="s">
        <v>37</v>
      </c>
      <c r="G107" t="s">
        <v>32</v>
      </c>
      <c r="H107">
        <v>184202</v>
      </c>
      <c r="I107" t="s">
        <v>17</v>
      </c>
      <c r="J107" t="s">
        <v>18</v>
      </c>
      <c r="K107" s="1">
        <v>42940</v>
      </c>
      <c r="L107">
        <v>8</v>
      </c>
      <c r="M107" t="s">
        <v>1037</v>
      </c>
      <c r="N107">
        <v>2017</v>
      </c>
    </row>
    <row r="108" spans="1:14" x14ac:dyDescent="0.3">
      <c r="A108" t="s">
        <v>246</v>
      </c>
      <c r="B108" t="s">
        <v>247</v>
      </c>
      <c r="C108" t="s">
        <v>21</v>
      </c>
      <c r="D108">
        <v>40</v>
      </c>
      <c r="E108" t="s">
        <v>14</v>
      </c>
      <c r="F108" t="s">
        <v>37</v>
      </c>
      <c r="G108" t="s">
        <v>45</v>
      </c>
      <c r="H108">
        <v>117624</v>
      </c>
      <c r="I108" t="s">
        <v>33</v>
      </c>
      <c r="J108" t="s">
        <v>29</v>
      </c>
      <c r="K108" s="1">
        <v>45720</v>
      </c>
      <c r="L108">
        <v>1</v>
      </c>
      <c r="M108" t="s">
        <v>1038</v>
      </c>
      <c r="N108">
        <v>2025</v>
      </c>
    </row>
    <row r="109" spans="1:14" x14ac:dyDescent="0.3">
      <c r="A109" t="s">
        <v>248</v>
      </c>
      <c r="B109" t="s">
        <v>249</v>
      </c>
      <c r="C109" t="s">
        <v>21</v>
      </c>
      <c r="D109">
        <v>26</v>
      </c>
      <c r="E109" t="s">
        <v>36</v>
      </c>
      <c r="F109" t="s">
        <v>37</v>
      </c>
      <c r="G109" t="s">
        <v>50</v>
      </c>
      <c r="H109">
        <v>177364</v>
      </c>
      <c r="I109" t="s">
        <v>17</v>
      </c>
      <c r="J109" t="s">
        <v>18</v>
      </c>
      <c r="K109" s="1">
        <v>44224</v>
      </c>
      <c r="L109">
        <v>5</v>
      </c>
      <c r="M109" t="s">
        <v>1036</v>
      </c>
      <c r="N109">
        <v>2021</v>
      </c>
    </row>
    <row r="110" spans="1:14" x14ac:dyDescent="0.3">
      <c r="A110" t="s">
        <v>250</v>
      </c>
      <c r="B110" t="s">
        <v>251</v>
      </c>
      <c r="C110" t="s">
        <v>21</v>
      </c>
      <c r="D110">
        <v>29</v>
      </c>
      <c r="E110" t="s">
        <v>14</v>
      </c>
      <c r="F110" t="s">
        <v>15</v>
      </c>
      <c r="G110" t="s">
        <v>45</v>
      </c>
      <c r="H110">
        <v>131785</v>
      </c>
      <c r="I110" t="s">
        <v>33</v>
      </c>
      <c r="J110" t="s">
        <v>25</v>
      </c>
      <c r="K110" s="1">
        <v>44077</v>
      </c>
      <c r="L110">
        <v>5</v>
      </c>
      <c r="M110" t="s">
        <v>1036</v>
      </c>
      <c r="N110">
        <v>2020</v>
      </c>
    </row>
    <row r="111" spans="1:14" x14ac:dyDescent="0.3">
      <c r="A111" t="s">
        <v>252</v>
      </c>
      <c r="B111" t="s">
        <v>253</v>
      </c>
      <c r="C111" t="s">
        <v>13</v>
      </c>
      <c r="D111">
        <v>70</v>
      </c>
      <c r="E111" t="s">
        <v>53</v>
      </c>
      <c r="F111" t="s">
        <v>23</v>
      </c>
      <c r="G111" t="s">
        <v>32</v>
      </c>
      <c r="H111">
        <v>106206</v>
      </c>
      <c r="I111" t="s">
        <v>33</v>
      </c>
      <c r="J111" t="s">
        <v>18</v>
      </c>
      <c r="K111" s="1">
        <v>43256</v>
      </c>
      <c r="L111">
        <v>7</v>
      </c>
      <c r="M111" t="s">
        <v>1036</v>
      </c>
      <c r="N111">
        <v>2018</v>
      </c>
    </row>
    <row r="112" spans="1:14" x14ac:dyDescent="0.3">
      <c r="A112" t="s">
        <v>254</v>
      </c>
      <c r="B112" t="s">
        <v>255</v>
      </c>
      <c r="C112" t="s">
        <v>21</v>
      </c>
      <c r="D112">
        <v>18</v>
      </c>
      <c r="E112" t="s">
        <v>36</v>
      </c>
      <c r="F112" t="s">
        <v>37</v>
      </c>
      <c r="G112" t="s">
        <v>38</v>
      </c>
      <c r="H112">
        <v>89274</v>
      </c>
      <c r="I112" t="s">
        <v>42</v>
      </c>
      <c r="J112" t="s">
        <v>18</v>
      </c>
      <c r="K112" s="1">
        <v>43657</v>
      </c>
      <c r="L112">
        <v>6</v>
      </c>
      <c r="M112" t="s">
        <v>1036</v>
      </c>
      <c r="N112">
        <v>2019</v>
      </c>
    </row>
    <row r="113" spans="1:14" x14ac:dyDescent="0.3">
      <c r="A113" t="s">
        <v>256</v>
      </c>
      <c r="B113" t="s">
        <v>257</v>
      </c>
      <c r="C113" t="s">
        <v>13</v>
      </c>
      <c r="D113">
        <v>18</v>
      </c>
      <c r="E113" t="s">
        <v>36</v>
      </c>
      <c r="F113" t="s">
        <v>23</v>
      </c>
      <c r="G113" t="s">
        <v>50</v>
      </c>
      <c r="H113">
        <v>153541</v>
      </c>
      <c r="I113" t="s">
        <v>17</v>
      </c>
      <c r="J113" t="s">
        <v>25</v>
      </c>
      <c r="K113" s="1">
        <v>43931</v>
      </c>
      <c r="L113">
        <v>6</v>
      </c>
      <c r="M113" t="s">
        <v>1036</v>
      </c>
      <c r="N113">
        <v>2020</v>
      </c>
    </row>
    <row r="114" spans="1:14" x14ac:dyDescent="0.3">
      <c r="A114" t="s">
        <v>258</v>
      </c>
      <c r="B114" t="s">
        <v>259</v>
      </c>
      <c r="C114" t="s">
        <v>21</v>
      </c>
      <c r="D114">
        <v>64</v>
      </c>
      <c r="E114" t="s">
        <v>53</v>
      </c>
      <c r="F114" t="s">
        <v>23</v>
      </c>
      <c r="G114" t="s">
        <v>16</v>
      </c>
      <c r="H114">
        <v>73947</v>
      </c>
      <c r="I114" t="s">
        <v>42</v>
      </c>
      <c r="J114" t="s">
        <v>29</v>
      </c>
      <c r="K114" s="1">
        <v>42445</v>
      </c>
      <c r="L114">
        <v>10</v>
      </c>
      <c r="M114" t="s">
        <v>1037</v>
      </c>
      <c r="N114">
        <v>2016</v>
      </c>
    </row>
    <row r="115" spans="1:14" x14ac:dyDescent="0.3">
      <c r="A115" t="s">
        <v>260</v>
      </c>
      <c r="B115" t="s">
        <v>261</v>
      </c>
      <c r="C115" t="s">
        <v>21</v>
      </c>
      <c r="D115">
        <v>51</v>
      </c>
      <c r="E115" t="s">
        <v>22</v>
      </c>
      <c r="F115" t="s">
        <v>15</v>
      </c>
      <c r="G115" t="s">
        <v>16</v>
      </c>
      <c r="H115">
        <v>173606</v>
      </c>
      <c r="I115" t="s">
        <v>17</v>
      </c>
      <c r="J115" t="s">
        <v>25</v>
      </c>
      <c r="K115" s="1">
        <v>43658</v>
      </c>
      <c r="L115">
        <v>6</v>
      </c>
      <c r="M115" t="s">
        <v>1036</v>
      </c>
      <c r="N115">
        <v>2019</v>
      </c>
    </row>
    <row r="116" spans="1:14" x14ac:dyDescent="0.3">
      <c r="A116" t="s">
        <v>262</v>
      </c>
      <c r="B116" t="s">
        <v>263</v>
      </c>
      <c r="C116" t="s">
        <v>13</v>
      </c>
      <c r="D116">
        <v>49</v>
      </c>
      <c r="E116" t="s">
        <v>22</v>
      </c>
      <c r="F116" t="s">
        <v>37</v>
      </c>
      <c r="G116" t="s">
        <v>16</v>
      </c>
      <c r="H116">
        <v>68874</v>
      </c>
      <c r="I116" t="s">
        <v>42</v>
      </c>
      <c r="J116" t="s">
        <v>25</v>
      </c>
      <c r="K116" s="1">
        <v>45532</v>
      </c>
      <c r="L116">
        <v>1</v>
      </c>
      <c r="M116" t="s">
        <v>1038</v>
      </c>
      <c r="N116">
        <v>2024</v>
      </c>
    </row>
    <row r="117" spans="1:14" x14ac:dyDescent="0.3">
      <c r="A117" t="s">
        <v>264</v>
      </c>
      <c r="B117" t="s">
        <v>265</v>
      </c>
      <c r="C117" t="s">
        <v>21</v>
      </c>
      <c r="D117">
        <v>71</v>
      </c>
      <c r="E117" t="s">
        <v>53</v>
      </c>
      <c r="F117" t="s">
        <v>41</v>
      </c>
      <c r="G117" t="s">
        <v>38</v>
      </c>
      <c r="H117">
        <v>69708</v>
      </c>
      <c r="I117" t="s">
        <v>42</v>
      </c>
      <c r="J117" t="s">
        <v>25</v>
      </c>
      <c r="K117" s="1">
        <v>45797</v>
      </c>
      <c r="L117">
        <v>0</v>
      </c>
      <c r="M117" t="s">
        <v>1038</v>
      </c>
      <c r="N117">
        <v>2025</v>
      </c>
    </row>
    <row r="118" spans="1:14" x14ac:dyDescent="0.3">
      <c r="A118" t="s">
        <v>266</v>
      </c>
      <c r="B118" t="s">
        <v>267</v>
      </c>
      <c r="C118" t="s">
        <v>13</v>
      </c>
      <c r="D118">
        <v>65</v>
      </c>
      <c r="E118" t="s">
        <v>53</v>
      </c>
      <c r="F118" t="s">
        <v>15</v>
      </c>
      <c r="G118" t="s">
        <v>38</v>
      </c>
      <c r="H118">
        <v>94553</v>
      </c>
      <c r="I118" t="s">
        <v>42</v>
      </c>
      <c r="J118" t="s">
        <v>18</v>
      </c>
      <c r="K118" s="1">
        <v>45706</v>
      </c>
      <c r="L118">
        <v>1</v>
      </c>
      <c r="M118" t="s">
        <v>1038</v>
      </c>
      <c r="N118">
        <v>2025</v>
      </c>
    </row>
    <row r="119" spans="1:14" x14ac:dyDescent="0.3">
      <c r="A119" t="s">
        <v>268</v>
      </c>
      <c r="B119" t="s">
        <v>269</v>
      </c>
      <c r="C119" t="s">
        <v>21</v>
      </c>
      <c r="D119">
        <v>42</v>
      </c>
      <c r="E119" t="s">
        <v>14</v>
      </c>
      <c r="F119" t="s">
        <v>41</v>
      </c>
      <c r="G119" t="s">
        <v>32</v>
      </c>
      <c r="H119">
        <v>88344</v>
      </c>
      <c r="I119" t="s">
        <v>42</v>
      </c>
      <c r="J119" t="s">
        <v>18</v>
      </c>
      <c r="K119" s="1">
        <v>45720</v>
      </c>
      <c r="L119">
        <v>1</v>
      </c>
      <c r="M119" t="s">
        <v>1038</v>
      </c>
      <c r="N119">
        <v>2025</v>
      </c>
    </row>
    <row r="120" spans="1:14" x14ac:dyDescent="0.3">
      <c r="A120" t="s">
        <v>270</v>
      </c>
      <c r="B120" t="s">
        <v>271</v>
      </c>
      <c r="C120" t="s">
        <v>21</v>
      </c>
      <c r="D120">
        <v>57</v>
      </c>
      <c r="E120" t="s">
        <v>22</v>
      </c>
      <c r="F120" t="s">
        <v>23</v>
      </c>
      <c r="G120" t="s">
        <v>45</v>
      </c>
      <c r="H120">
        <v>69138</v>
      </c>
      <c r="I120" t="s">
        <v>42</v>
      </c>
      <c r="J120" t="s">
        <v>25</v>
      </c>
      <c r="K120" s="1">
        <v>43821</v>
      </c>
      <c r="L120">
        <v>6</v>
      </c>
      <c r="M120" t="s">
        <v>1036</v>
      </c>
      <c r="N120">
        <v>2019</v>
      </c>
    </row>
    <row r="121" spans="1:14" x14ac:dyDescent="0.3">
      <c r="A121" t="s">
        <v>272</v>
      </c>
      <c r="B121" t="s">
        <v>273</v>
      </c>
      <c r="C121" t="s">
        <v>13</v>
      </c>
      <c r="D121">
        <v>62</v>
      </c>
      <c r="E121" t="s">
        <v>53</v>
      </c>
      <c r="F121" t="s">
        <v>23</v>
      </c>
      <c r="G121" t="s">
        <v>32</v>
      </c>
      <c r="H121">
        <v>67638</v>
      </c>
      <c r="I121" t="s">
        <v>42</v>
      </c>
      <c r="J121" t="s">
        <v>18</v>
      </c>
      <c r="K121" s="1">
        <v>43555</v>
      </c>
      <c r="L121">
        <v>7</v>
      </c>
      <c r="M121" t="s">
        <v>1036</v>
      </c>
      <c r="N121">
        <v>2019</v>
      </c>
    </row>
    <row r="122" spans="1:14" x14ac:dyDescent="0.3">
      <c r="A122" t="s">
        <v>274</v>
      </c>
      <c r="B122" t="s">
        <v>275</v>
      </c>
      <c r="C122" t="s">
        <v>21</v>
      </c>
      <c r="D122">
        <v>70</v>
      </c>
      <c r="E122" t="s">
        <v>53</v>
      </c>
      <c r="F122" t="s">
        <v>15</v>
      </c>
      <c r="G122" t="s">
        <v>32</v>
      </c>
      <c r="H122">
        <v>98249</v>
      </c>
      <c r="I122" t="s">
        <v>42</v>
      </c>
      <c r="J122" t="s">
        <v>25</v>
      </c>
      <c r="K122" s="1">
        <v>45094</v>
      </c>
      <c r="L122">
        <v>2</v>
      </c>
      <c r="M122" t="s">
        <v>1035</v>
      </c>
      <c r="N122">
        <v>2023</v>
      </c>
    </row>
    <row r="123" spans="1:14" x14ac:dyDescent="0.3">
      <c r="A123" t="s">
        <v>276</v>
      </c>
      <c r="B123" t="s">
        <v>277</v>
      </c>
      <c r="C123" t="s">
        <v>13</v>
      </c>
      <c r="D123">
        <v>18</v>
      </c>
      <c r="E123" t="s">
        <v>36</v>
      </c>
      <c r="F123" t="s">
        <v>15</v>
      </c>
      <c r="G123" t="s">
        <v>38</v>
      </c>
      <c r="H123">
        <v>125865</v>
      </c>
      <c r="I123" t="s">
        <v>33</v>
      </c>
      <c r="J123" t="s">
        <v>29</v>
      </c>
      <c r="K123" s="1">
        <v>42270</v>
      </c>
      <c r="L123">
        <v>10</v>
      </c>
      <c r="M123" t="s">
        <v>1037</v>
      </c>
      <c r="N123">
        <v>2015</v>
      </c>
    </row>
    <row r="124" spans="1:14" x14ac:dyDescent="0.3">
      <c r="A124" t="s">
        <v>278</v>
      </c>
      <c r="B124" t="s">
        <v>279</v>
      </c>
      <c r="C124" t="s">
        <v>21</v>
      </c>
      <c r="D124">
        <v>33</v>
      </c>
      <c r="E124" t="s">
        <v>14</v>
      </c>
      <c r="F124" t="s">
        <v>41</v>
      </c>
      <c r="G124" t="s">
        <v>16</v>
      </c>
      <c r="H124">
        <v>22719</v>
      </c>
      <c r="I124" t="s">
        <v>42</v>
      </c>
      <c r="J124" t="s">
        <v>18</v>
      </c>
      <c r="K124" s="1">
        <v>42921</v>
      </c>
      <c r="L124">
        <v>8</v>
      </c>
      <c r="M124" t="s">
        <v>1037</v>
      </c>
      <c r="N124">
        <v>2017</v>
      </c>
    </row>
    <row r="125" spans="1:14" x14ac:dyDescent="0.3">
      <c r="A125" t="s">
        <v>280</v>
      </c>
      <c r="B125" t="s">
        <v>281</v>
      </c>
      <c r="C125" t="s">
        <v>13</v>
      </c>
      <c r="D125">
        <v>56</v>
      </c>
      <c r="E125" t="s">
        <v>22</v>
      </c>
      <c r="F125" t="s">
        <v>37</v>
      </c>
      <c r="G125" t="s">
        <v>28</v>
      </c>
      <c r="H125">
        <v>173962</v>
      </c>
      <c r="I125" t="s">
        <v>17</v>
      </c>
      <c r="J125" t="s">
        <v>18</v>
      </c>
      <c r="K125" s="1">
        <v>44752</v>
      </c>
      <c r="L125">
        <v>3</v>
      </c>
      <c r="M125" t="s">
        <v>1035</v>
      </c>
      <c r="N125">
        <v>2022</v>
      </c>
    </row>
    <row r="126" spans="1:14" x14ac:dyDescent="0.3">
      <c r="A126" t="s">
        <v>282</v>
      </c>
      <c r="B126" t="s">
        <v>283</v>
      </c>
      <c r="C126" t="s">
        <v>13</v>
      </c>
      <c r="D126">
        <v>22</v>
      </c>
      <c r="E126" t="s">
        <v>36</v>
      </c>
      <c r="F126" t="s">
        <v>41</v>
      </c>
      <c r="G126" t="s">
        <v>45</v>
      </c>
      <c r="H126">
        <v>187581</v>
      </c>
      <c r="I126" t="s">
        <v>17</v>
      </c>
      <c r="J126" t="s">
        <v>25</v>
      </c>
      <c r="K126" s="1">
        <v>42754</v>
      </c>
      <c r="L126">
        <v>9</v>
      </c>
      <c r="M126" t="s">
        <v>1037</v>
      </c>
      <c r="N126">
        <v>2017</v>
      </c>
    </row>
    <row r="127" spans="1:14" x14ac:dyDescent="0.3">
      <c r="A127" t="s">
        <v>284</v>
      </c>
      <c r="B127" t="s">
        <v>285</v>
      </c>
      <c r="C127" t="s">
        <v>21</v>
      </c>
      <c r="D127">
        <v>39</v>
      </c>
      <c r="E127" t="s">
        <v>14</v>
      </c>
      <c r="F127" t="s">
        <v>15</v>
      </c>
      <c r="G127" t="s">
        <v>38</v>
      </c>
      <c r="H127">
        <v>62534</v>
      </c>
      <c r="I127" t="s">
        <v>42</v>
      </c>
      <c r="J127" t="s">
        <v>18</v>
      </c>
      <c r="K127" s="1">
        <v>43891</v>
      </c>
      <c r="L127">
        <v>6</v>
      </c>
      <c r="M127" t="s">
        <v>1036</v>
      </c>
      <c r="N127">
        <v>2020</v>
      </c>
    </row>
    <row r="128" spans="1:14" x14ac:dyDescent="0.3">
      <c r="A128" t="s">
        <v>286</v>
      </c>
      <c r="B128" t="s">
        <v>287</v>
      </c>
      <c r="C128" t="s">
        <v>21</v>
      </c>
      <c r="D128">
        <v>46</v>
      </c>
      <c r="E128" t="s">
        <v>22</v>
      </c>
      <c r="F128" t="s">
        <v>41</v>
      </c>
      <c r="G128" t="s">
        <v>16</v>
      </c>
      <c r="H128">
        <v>112241</v>
      </c>
      <c r="I128" t="s">
        <v>33</v>
      </c>
      <c r="J128" t="s">
        <v>25</v>
      </c>
      <c r="K128" s="1">
        <v>42374</v>
      </c>
      <c r="L128">
        <v>10</v>
      </c>
      <c r="M128" t="s">
        <v>1037</v>
      </c>
      <c r="N128">
        <v>2016</v>
      </c>
    </row>
    <row r="129" spans="1:14" x14ac:dyDescent="0.3">
      <c r="A129" t="s">
        <v>288</v>
      </c>
      <c r="B129" t="s">
        <v>289</v>
      </c>
      <c r="C129" t="s">
        <v>13</v>
      </c>
      <c r="D129">
        <v>72</v>
      </c>
      <c r="E129" t="s">
        <v>53</v>
      </c>
      <c r="F129" t="s">
        <v>15</v>
      </c>
      <c r="G129" t="s">
        <v>50</v>
      </c>
      <c r="H129">
        <v>169859</v>
      </c>
      <c r="I129" t="s">
        <v>17</v>
      </c>
      <c r="J129" t="s">
        <v>18</v>
      </c>
      <c r="K129" s="1">
        <v>45039</v>
      </c>
      <c r="L129">
        <v>2</v>
      </c>
      <c r="M129" t="s">
        <v>1035</v>
      </c>
      <c r="N129">
        <v>2023</v>
      </c>
    </row>
    <row r="130" spans="1:14" x14ac:dyDescent="0.3">
      <c r="A130" t="s">
        <v>290</v>
      </c>
      <c r="B130" t="s">
        <v>291</v>
      </c>
      <c r="C130" t="s">
        <v>21</v>
      </c>
      <c r="D130">
        <v>20</v>
      </c>
      <c r="E130" t="s">
        <v>36</v>
      </c>
      <c r="F130" t="s">
        <v>41</v>
      </c>
      <c r="G130" t="s">
        <v>28</v>
      </c>
      <c r="H130">
        <v>146209</v>
      </c>
      <c r="I130" t="s">
        <v>33</v>
      </c>
      <c r="J130" t="s">
        <v>25</v>
      </c>
      <c r="K130" s="1">
        <v>43517</v>
      </c>
      <c r="L130">
        <v>7</v>
      </c>
      <c r="M130" t="s">
        <v>1036</v>
      </c>
      <c r="N130">
        <v>2019</v>
      </c>
    </row>
    <row r="131" spans="1:14" x14ac:dyDescent="0.3">
      <c r="A131" t="s">
        <v>292</v>
      </c>
      <c r="B131" t="s">
        <v>293</v>
      </c>
      <c r="C131" t="s">
        <v>21</v>
      </c>
      <c r="D131">
        <v>29</v>
      </c>
      <c r="E131" t="s">
        <v>14</v>
      </c>
      <c r="F131" t="s">
        <v>15</v>
      </c>
      <c r="G131" t="s">
        <v>28</v>
      </c>
      <c r="H131">
        <v>199917</v>
      </c>
      <c r="I131" t="s">
        <v>17</v>
      </c>
      <c r="J131" t="s">
        <v>18</v>
      </c>
      <c r="K131" s="1">
        <v>45498</v>
      </c>
      <c r="L131">
        <v>1</v>
      </c>
      <c r="M131" t="s">
        <v>1038</v>
      </c>
      <c r="N131">
        <v>2024</v>
      </c>
    </row>
    <row r="132" spans="1:14" x14ac:dyDescent="0.3">
      <c r="A132" t="s">
        <v>294</v>
      </c>
      <c r="B132" t="s">
        <v>295</v>
      </c>
      <c r="C132" t="s">
        <v>21</v>
      </c>
      <c r="D132">
        <v>43</v>
      </c>
      <c r="E132" t="s">
        <v>14</v>
      </c>
      <c r="F132" t="s">
        <v>15</v>
      </c>
      <c r="G132" t="s">
        <v>38</v>
      </c>
      <c r="H132">
        <v>112124</v>
      </c>
      <c r="I132" t="s">
        <v>33</v>
      </c>
      <c r="J132" t="s">
        <v>25</v>
      </c>
      <c r="K132" s="1">
        <v>43955</v>
      </c>
      <c r="L132">
        <v>5</v>
      </c>
      <c r="M132" t="s">
        <v>1036</v>
      </c>
      <c r="N132">
        <v>2020</v>
      </c>
    </row>
    <row r="133" spans="1:14" x14ac:dyDescent="0.3">
      <c r="A133" t="s">
        <v>296</v>
      </c>
      <c r="B133" t="s">
        <v>297</v>
      </c>
      <c r="C133" t="s">
        <v>13</v>
      </c>
      <c r="D133">
        <v>33</v>
      </c>
      <c r="E133" t="s">
        <v>14</v>
      </c>
      <c r="F133" t="s">
        <v>15</v>
      </c>
      <c r="G133" t="s">
        <v>24</v>
      </c>
      <c r="H133">
        <v>111659</v>
      </c>
      <c r="I133" t="s">
        <v>33</v>
      </c>
      <c r="J133" t="s">
        <v>18</v>
      </c>
      <c r="K133" s="1">
        <v>43143</v>
      </c>
      <c r="L133">
        <v>8</v>
      </c>
      <c r="M133" t="s">
        <v>1037</v>
      </c>
      <c r="N133">
        <v>2018</v>
      </c>
    </row>
    <row r="134" spans="1:14" x14ac:dyDescent="0.3">
      <c r="A134" t="s">
        <v>298</v>
      </c>
      <c r="B134" t="s">
        <v>299</v>
      </c>
      <c r="C134" t="s">
        <v>13</v>
      </c>
      <c r="D134">
        <v>68</v>
      </c>
      <c r="E134" t="s">
        <v>53</v>
      </c>
      <c r="F134" t="s">
        <v>37</v>
      </c>
      <c r="G134" t="s">
        <v>45</v>
      </c>
      <c r="H134">
        <v>184134</v>
      </c>
      <c r="I134" t="s">
        <v>17</v>
      </c>
      <c r="J134" t="s">
        <v>18</v>
      </c>
      <c r="K134" s="1">
        <v>44454</v>
      </c>
      <c r="L134">
        <v>4</v>
      </c>
      <c r="M134" t="s">
        <v>1036</v>
      </c>
      <c r="N134">
        <v>2021</v>
      </c>
    </row>
    <row r="135" spans="1:14" x14ac:dyDescent="0.3">
      <c r="A135" t="s">
        <v>300</v>
      </c>
      <c r="B135" t="s">
        <v>301</v>
      </c>
      <c r="C135" t="s">
        <v>13</v>
      </c>
      <c r="D135">
        <v>54</v>
      </c>
      <c r="E135" t="s">
        <v>22</v>
      </c>
      <c r="F135" t="s">
        <v>41</v>
      </c>
      <c r="G135" t="s">
        <v>28</v>
      </c>
      <c r="H135">
        <v>95713</v>
      </c>
      <c r="I135" t="s">
        <v>42</v>
      </c>
      <c r="J135" t="s">
        <v>18</v>
      </c>
      <c r="K135" s="1">
        <v>43302</v>
      </c>
      <c r="L135">
        <v>7</v>
      </c>
      <c r="M135" t="s">
        <v>1036</v>
      </c>
      <c r="N135">
        <v>2018</v>
      </c>
    </row>
    <row r="136" spans="1:14" x14ac:dyDescent="0.3">
      <c r="A136" t="s">
        <v>302</v>
      </c>
      <c r="B136" t="s">
        <v>303</v>
      </c>
      <c r="C136" t="s">
        <v>13</v>
      </c>
      <c r="D136">
        <v>39</v>
      </c>
      <c r="E136" t="s">
        <v>14</v>
      </c>
      <c r="F136" t="s">
        <v>41</v>
      </c>
      <c r="G136" t="s">
        <v>38</v>
      </c>
      <c r="H136">
        <v>95418</v>
      </c>
      <c r="I136" t="s">
        <v>42</v>
      </c>
      <c r="J136" t="s">
        <v>25</v>
      </c>
      <c r="K136" s="1">
        <v>43262</v>
      </c>
      <c r="L136">
        <v>7</v>
      </c>
      <c r="M136" t="s">
        <v>1036</v>
      </c>
      <c r="N136">
        <v>2018</v>
      </c>
    </row>
    <row r="137" spans="1:14" x14ac:dyDescent="0.3">
      <c r="A137" t="s">
        <v>304</v>
      </c>
      <c r="B137" t="s">
        <v>305</v>
      </c>
      <c r="C137" t="s">
        <v>13</v>
      </c>
      <c r="D137">
        <v>74</v>
      </c>
      <c r="E137" t="s">
        <v>53</v>
      </c>
      <c r="F137" t="s">
        <v>41</v>
      </c>
      <c r="G137" t="s">
        <v>38</v>
      </c>
      <c r="H137">
        <v>148232</v>
      </c>
      <c r="I137" t="s">
        <v>33</v>
      </c>
      <c r="J137" t="s">
        <v>25</v>
      </c>
      <c r="K137" s="1">
        <v>45439</v>
      </c>
      <c r="L137">
        <v>1</v>
      </c>
      <c r="M137" t="s">
        <v>1038</v>
      </c>
      <c r="N137">
        <v>2024</v>
      </c>
    </row>
    <row r="138" spans="1:14" x14ac:dyDescent="0.3">
      <c r="A138" t="s">
        <v>306</v>
      </c>
      <c r="B138" t="s">
        <v>307</v>
      </c>
      <c r="C138" t="s">
        <v>13</v>
      </c>
      <c r="D138">
        <v>46</v>
      </c>
      <c r="E138" t="s">
        <v>22</v>
      </c>
      <c r="F138" t="s">
        <v>15</v>
      </c>
      <c r="G138" t="s">
        <v>16</v>
      </c>
      <c r="H138">
        <v>185904</v>
      </c>
      <c r="I138" t="s">
        <v>17</v>
      </c>
      <c r="J138" t="s">
        <v>18</v>
      </c>
      <c r="K138" s="1">
        <v>43594</v>
      </c>
      <c r="L138">
        <v>6</v>
      </c>
      <c r="M138" t="s">
        <v>1036</v>
      </c>
      <c r="N138">
        <v>2019</v>
      </c>
    </row>
    <row r="139" spans="1:14" x14ac:dyDescent="0.3">
      <c r="A139" t="s">
        <v>308</v>
      </c>
      <c r="B139" t="s">
        <v>309</v>
      </c>
      <c r="C139" t="s">
        <v>13</v>
      </c>
      <c r="D139">
        <v>31</v>
      </c>
      <c r="E139" t="s">
        <v>14</v>
      </c>
      <c r="F139" t="s">
        <v>41</v>
      </c>
      <c r="G139" t="s">
        <v>50</v>
      </c>
      <c r="H139">
        <v>183038</v>
      </c>
      <c r="I139" t="s">
        <v>17</v>
      </c>
      <c r="J139" t="s">
        <v>18</v>
      </c>
      <c r="K139" s="1">
        <v>42817</v>
      </c>
      <c r="L139">
        <v>9</v>
      </c>
      <c r="M139" t="s">
        <v>1037</v>
      </c>
      <c r="N139">
        <v>2017</v>
      </c>
    </row>
    <row r="140" spans="1:14" x14ac:dyDescent="0.3">
      <c r="A140" t="s">
        <v>310</v>
      </c>
      <c r="B140" t="s">
        <v>311</v>
      </c>
      <c r="C140" t="s">
        <v>13</v>
      </c>
      <c r="D140">
        <v>45</v>
      </c>
      <c r="E140" t="s">
        <v>22</v>
      </c>
      <c r="F140" t="s">
        <v>41</v>
      </c>
      <c r="G140" t="s">
        <v>24</v>
      </c>
      <c r="H140">
        <v>164059</v>
      </c>
      <c r="I140" t="s">
        <v>17</v>
      </c>
      <c r="J140" t="s">
        <v>18</v>
      </c>
      <c r="K140" s="1">
        <v>45619</v>
      </c>
      <c r="L140">
        <v>1</v>
      </c>
      <c r="M140" t="s">
        <v>1038</v>
      </c>
      <c r="N140">
        <v>2024</v>
      </c>
    </row>
    <row r="141" spans="1:14" x14ac:dyDescent="0.3">
      <c r="A141" t="s">
        <v>312</v>
      </c>
      <c r="B141" t="s">
        <v>313</v>
      </c>
      <c r="C141" t="s">
        <v>13</v>
      </c>
      <c r="D141">
        <v>22</v>
      </c>
      <c r="E141" t="s">
        <v>36</v>
      </c>
      <c r="F141" t="s">
        <v>15</v>
      </c>
      <c r="G141" t="s">
        <v>45</v>
      </c>
      <c r="H141">
        <v>188383</v>
      </c>
      <c r="I141" t="s">
        <v>17</v>
      </c>
      <c r="J141" t="s">
        <v>25</v>
      </c>
      <c r="K141" s="1">
        <v>43371</v>
      </c>
      <c r="L141">
        <v>7</v>
      </c>
      <c r="M141" t="s">
        <v>1036</v>
      </c>
      <c r="N141">
        <v>2018</v>
      </c>
    </row>
    <row r="142" spans="1:14" x14ac:dyDescent="0.3">
      <c r="A142" t="s">
        <v>314</v>
      </c>
      <c r="B142" t="s">
        <v>315</v>
      </c>
      <c r="C142" t="s">
        <v>21</v>
      </c>
      <c r="D142">
        <v>64</v>
      </c>
      <c r="E142" t="s">
        <v>53</v>
      </c>
      <c r="F142" t="s">
        <v>23</v>
      </c>
      <c r="G142" t="s">
        <v>32</v>
      </c>
      <c r="H142">
        <v>51575</v>
      </c>
      <c r="I142" t="s">
        <v>42</v>
      </c>
      <c r="J142" t="s">
        <v>25</v>
      </c>
      <c r="K142" s="1">
        <v>43326</v>
      </c>
      <c r="L142">
        <v>7</v>
      </c>
      <c r="M142" t="s">
        <v>1036</v>
      </c>
      <c r="N142">
        <v>2018</v>
      </c>
    </row>
    <row r="143" spans="1:14" x14ac:dyDescent="0.3">
      <c r="A143" t="s">
        <v>316</v>
      </c>
      <c r="B143" t="s">
        <v>317</v>
      </c>
      <c r="C143" t="s">
        <v>13</v>
      </c>
      <c r="D143">
        <v>66</v>
      </c>
      <c r="E143" t="s">
        <v>53</v>
      </c>
      <c r="F143" t="s">
        <v>15</v>
      </c>
      <c r="G143" t="s">
        <v>50</v>
      </c>
      <c r="H143">
        <v>83852</v>
      </c>
      <c r="I143" t="s">
        <v>42</v>
      </c>
      <c r="J143" t="s">
        <v>18</v>
      </c>
      <c r="K143" s="1">
        <v>45560</v>
      </c>
      <c r="L143">
        <v>1</v>
      </c>
      <c r="M143" t="s">
        <v>1038</v>
      </c>
      <c r="N143">
        <v>2024</v>
      </c>
    </row>
    <row r="144" spans="1:14" x14ac:dyDescent="0.3">
      <c r="A144" t="s">
        <v>318</v>
      </c>
      <c r="B144" t="s">
        <v>319</v>
      </c>
      <c r="C144" t="s">
        <v>21</v>
      </c>
      <c r="D144">
        <v>47</v>
      </c>
      <c r="E144" t="s">
        <v>22</v>
      </c>
      <c r="F144" t="s">
        <v>41</v>
      </c>
      <c r="G144" t="s">
        <v>50</v>
      </c>
      <c r="H144">
        <v>152079</v>
      </c>
      <c r="I144" t="s">
        <v>17</v>
      </c>
      <c r="J144" t="s">
        <v>18</v>
      </c>
      <c r="K144" s="1">
        <v>44528</v>
      </c>
      <c r="L144">
        <v>4</v>
      </c>
      <c r="M144" t="s">
        <v>1036</v>
      </c>
      <c r="N144">
        <v>2021</v>
      </c>
    </row>
    <row r="145" spans="1:14" x14ac:dyDescent="0.3">
      <c r="A145" t="s">
        <v>320</v>
      </c>
      <c r="B145" t="s">
        <v>321</v>
      </c>
      <c r="C145" t="s">
        <v>21</v>
      </c>
      <c r="D145">
        <v>63</v>
      </c>
      <c r="E145" t="s">
        <v>53</v>
      </c>
      <c r="F145" t="s">
        <v>15</v>
      </c>
      <c r="G145" t="s">
        <v>16</v>
      </c>
      <c r="H145">
        <v>96242</v>
      </c>
      <c r="I145" t="s">
        <v>42</v>
      </c>
      <c r="J145" t="s">
        <v>18</v>
      </c>
      <c r="K145" s="1">
        <v>43084</v>
      </c>
      <c r="L145">
        <v>8</v>
      </c>
      <c r="M145" t="s">
        <v>1037</v>
      </c>
      <c r="N145">
        <v>2017</v>
      </c>
    </row>
    <row r="146" spans="1:14" x14ac:dyDescent="0.3">
      <c r="A146" t="s">
        <v>322</v>
      </c>
      <c r="B146" t="s">
        <v>323</v>
      </c>
      <c r="C146" t="s">
        <v>21</v>
      </c>
      <c r="D146">
        <v>69</v>
      </c>
      <c r="E146" t="s">
        <v>53</v>
      </c>
      <c r="F146" t="s">
        <v>23</v>
      </c>
      <c r="G146" t="s">
        <v>28</v>
      </c>
      <c r="H146">
        <v>198589</v>
      </c>
      <c r="I146" t="s">
        <v>17</v>
      </c>
      <c r="J146" t="s">
        <v>18</v>
      </c>
      <c r="K146" s="1">
        <v>43588</v>
      </c>
      <c r="L146">
        <v>6</v>
      </c>
      <c r="M146" t="s">
        <v>1036</v>
      </c>
      <c r="N146">
        <v>2019</v>
      </c>
    </row>
    <row r="147" spans="1:14" x14ac:dyDescent="0.3">
      <c r="A147" t="s">
        <v>324</v>
      </c>
      <c r="B147" t="s">
        <v>325</v>
      </c>
      <c r="C147" t="s">
        <v>13</v>
      </c>
      <c r="D147">
        <v>22</v>
      </c>
      <c r="E147" t="s">
        <v>36</v>
      </c>
      <c r="F147" t="s">
        <v>15</v>
      </c>
      <c r="G147" t="s">
        <v>28</v>
      </c>
      <c r="H147">
        <v>49257</v>
      </c>
      <c r="I147" t="s">
        <v>42</v>
      </c>
      <c r="J147" t="s">
        <v>18</v>
      </c>
      <c r="K147" s="1">
        <v>44029</v>
      </c>
      <c r="L147">
        <v>5</v>
      </c>
      <c r="M147" t="s">
        <v>1036</v>
      </c>
      <c r="N147">
        <v>2020</v>
      </c>
    </row>
    <row r="148" spans="1:14" x14ac:dyDescent="0.3">
      <c r="A148" t="s">
        <v>326</v>
      </c>
      <c r="B148" t="s">
        <v>327</v>
      </c>
      <c r="C148" t="s">
        <v>13</v>
      </c>
      <c r="D148">
        <v>29</v>
      </c>
      <c r="E148" t="s">
        <v>14</v>
      </c>
      <c r="F148" t="s">
        <v>41</v>
      </c>
      <c r="G148" t="s">
        <v>16</v>
      </c>
      <c r="H148">
        <v>193279</v>
      </c>
      <c r="I148" t="s">
        <v>17</v>
      </c>
      <c r="J148" t="s">
        <v>29</v>
      </c>
      <c r="K148" s="1">
        <v>43888</v>
      </c>
      <c r="L148">
        <v>6</v>
      </c>
      <c r="M148" t="s">
        <v>1036</v>
      </c>
      <c r="N148">
        <v>2020</v>
      </c>
    </row>
    <row r="149" spans="1:14" x14ac:dyDescent="0.3">
      <c r="A149" t="s">
        <v>328</v>
      </c>
      <c r="B149" t="s">
        <v>329</v>
      </c>
      <c r="C149" t="s">
        <v>13</v>
      </c>
      <c r="D149">
        <v>33</v>
      </c>
      <c r="E149" t="s">
        <v>14</v>
      </c>
      <c r="F149" t="s">
        <v>23</v>
      </c>
      <c r="G149" t="s">
        <v>38</v>
      </c>
      <c r="H149">
        <v>164353</v>
      </c>
      <c r="I149" t="s">
        <v>17</v>
      </c>
      <c r="J149" t="s">
        <v>18</v>
      </c>
      <c r="K149" s="1">
        <v>43337</v>
      </c>
      <c r="L149">
        <v>7</v>
      </c>
      <c r="M149" t="s">
        <v>1036</v>
      </c>
      <c r="N149">
        <v>2018</v>
      </c>
    </row>
    <row r="150" spans="1:14" x14ac:dyDescent="0.3">
      <c r="A150" t="s">
        <v>330</v>
      </c>
      <c r="B150" t="s">
        <v>331</v>
      </c>
      <c r="C150" t="s">
        <v>13</v>
      </c>
      <c r="D150">
        <v>43</v>
      </c>
      <c r="E150" t="s">
        <v>14</v>
      </c>
      <c r="F150" t="s">
        <v>37</v>
      </c>
      <c r="G150" t="s">
        <v>28</v>
      </c>
      <c r="H150">
        <v>81246</v>
      </c>
      <c r="I150" t="s">
        <v>42</v>
      </c>
      <c r="J150" t="s">
        <v>25</v>
      </c>
      <c r="K150" s="1">
        <v>44893</v>
      </c>
      <c r="L150">
        <v>3</v>
      </c>
      <c r="M150" t="s">
        <v>1035</v>
      </c>
      <c r="N150">
        <v>2022</v>
      </c>
    </row>
    <row r="151" spans="1:14" x14ac:dyDescent="0.3">
      <c r="A151" t="s">
        <v>332</v>
      </c>
      <c r="B151" t="s">
        <v>333</v>
      </c>
      <c r="C151" t="s">
        <v>21</v>
      </c>
      <c r="D151">
        <v>43</v>
      </c>
      <c r="E151" t="s">
        <v>14</v>
      </c>
      <c r="F151" t="s">
        <v>41</v>
      </c>
      <c r="G151" t="s">
        <v>24</v>
      </c>
      <c r="H151">
        <v>21435</v>
      </c>
      <c r="I151" t="s">
        <v>42</v>
      </c>
      <c r="J151" t="s">
        <v>18</v>
      </c>
      <c r="K151" s="1">
        <v>44015</v>
      </c>
      <c r="L151">
        <v>5</v>
      </c>
      <c r="M151" t="s">
        <v>1036</v>
      </c>
      <c r="N151">
        <v>2020</v>
      </c>
    </row>
    <row r="152" spans="1:14" x14ac:dyDescent="0.3">
      <c r="A152" t="s">
        <v>334</v>
      </c>
      <c r="B152" t="s">
        <v>335</v>
      </c>
      <c r="C152" t="s">
        <v>13</v>
      </c>
      <c r="D152">
        <v>65</v>
      </c>
      <c r="E152" t="s">
        <v>53</v>
      </c>
      <c r="F152" t="s">
        <v>23</v>
      </c>
      <c r="G152" t="s">
        <v>45</v>
      </c>
      <c r="H152">
        <v>111357</v>
      </c>
      <c r="I152" t="s">
        <v>33</v>
      </c>
      <c r="J152" t="s">
        <v>18</v>
      </c>
      <c r="K152" s="1">
        <v>43949</v>
      </c>
      <c r="L152">
        <v>5</v>
      </c>
      <c r="M152" t="s">
        <v>1036</v>
      </c>
      <c r="N152">
        <v>2020</v>
      </c>
    </row>
    <row r="153" spans="1:14" x14ac:dyDescent="0.3">
      <c r="A153" t="s">
        <v>336</v>
      </c>
      <c r="B153" t="s">
        <v>337</v>
      </c>
      <c r="C153" t="s">
        <v>13</v>
      </c>
      <c r="D153">
        <v>38</v>
      </c>
      <c r="E153" t="s">
        <v>14</v>
      </c>
      <c r="F153" t="s">
        <v>23</v>
      </c>
      <c r="G153" t="s">
        <v>50</v>
      </c>
      <c r="H153">
        <v>177732</v>
      </c>
      <c r="I153" t="s">
        <v>17</v>
      </c>
      <c r="J153" t="s">
        <v>25</v>
      </c>
      <c r="K153" s="1">
        <v>43409</v>
      </c>
      <c r="L153">
        <v>7</v>
      </c>
      <c r="M153" t="s">
        <v>1036</v>
      </c>
      <c r="N153">
        <v>2018</v>
      </c>
    </row>
    <row r="154" spans="1:14" x14ac:dyDescent="0.3">
      <c r="A154" t="s">
        <v>338</v>
      </c>
      <c r="B154" t="s">
        <v>339</v>
      </c>
      <c r="C154" t="s">
        <v>13</v>
      </c>
      <c r="D154">
        <v>56</v>
      </c>
      <c r="E154" t="s">
        <v>22</v>
      </c>
      <c r="F154" t="s">
        <v>37</v>
      </c>
      <c r="G154" t="s">
        <v>50</v>
      </c>
      <c r="H154">
        <v>156156</v>
      </c>
      <c r="I154" t="s">
        <v>17</v>
      </c>
      <c r="J154" t="s">
        <v>25</v>
      </c>
      <c r="K154" s="1">
        <v>42365</v>
      </c>
      <c r="L154">
        <v>10</v>
      </c>
      <c r="M154" t="s">
        <v>1037</v>
      </c>
      <c r="N154">
        <v>2015</v>
      </c>
    </row>
    <row r="155" spans="1:14" x14ac:dyDescent="0.3">
      <c r="A155" t="s">
        <v>340</v>
      </c>
      <c r="B155" t="s">
        <v>341</v>
      </c>
      <c r="C155" t="s">
        <v>13</v>
      </c>
      <c r="D155">
        <v>53</v>
      </c>
      <c r="E155" t="s">
        <v>22</v>
      </c>
      <c r="F155" t="s">
        <v>15</v>
      </c>
      <c r="G155" t="s">
        <v>24</v>
      </c>
      <c r="H155">
        <v>164579</v>
      </c>
      <c r="I155" t="s">
        <v>17</v>
      </c>
      <c r="J155" t="s">
        <v>29</v>
      </c>
      <c r="K155" s="1">
        <v>42280</v>
      </c>
      <c r="L155">
        <v>10</v>
      </c>
      <c r="M155" t="s">
        <v>1037</v>
      </c>
      <c r="N155">
        <v>2015</v>
      </c>
    </row>
    <row r="156" spans="1:14" x14ac:dyDescent="0.3">
      <c r="A156" t="s">
        <v>342</v>
      </c>
      <c r="B156" t="s">
        <v>343</v>
      </c>
      <c r="C156" t="s">
        <v>13</v>
      </c>
      <c r="D156">
        <v>50</v>
      </c>
      <c r="E156" t="s">
        <v>22</v>
      </c>
      <c r="F156" t="s">
        <v>15</v>
      </c>
      <c r="G156" t="s">
        <v>28</v>
      </c>
      <c r="H156">
        <v>103807</v>
      </c>
      <c r="I156" t="s">
        <v>33</v>
      </c>
      <c r="J156" t="s">
        <v>18</v>
      </c>
      <c r="K156" s="1">
        <v>45264</v>
      </c>
      <c r="L156">
        <v>2</v>
      </c>
      <c r="M156" t="s">
        <v>1035</v>
      </c>
      <c r="N156">
        <v>2023</v>
      </c>
    </row>
    <row r="157" spans="1:14" x14ac:dyDescent="0.3">
      <c r="A157" t="s">
        <v>344</v>
      </c>
      <c r="B157" t="s">
        <v>345</v>
      </c>
      <c r="C157" t="s">
        <v>21</v>
      </c>
      <c r="D157">
        <v>47</v>
      </c>
      <c r="E157" t="s">
        <v>22</v>
      </c>
      <c r="F157" t="s">
        <v>41</v>
      </c>
      <c r="G157" t="s">
        <v>50</v>
      </c>
      <c r="H157">
        <v>196611</v>
      </c>
      <c r="I157" t="s">
        <v>17</v>
      </c>
      <c r="J157" t="s">
        <v>18</v>
      </c>
      <c r="K157" s="1">
        <v>44850</v>
      </c>
      <c r="L157">
        <v>3</v>
      </c>
      <c r="M157" t="s">
        <v>1035</v>
      </c>
      <c r="N157">
        <v>2022</v>
      </c>
    </row>
    <row r="158" spans="1:14" x14ac:dyDescent="0.3">
      <c r="A158" t="s">
        <v>346</v>
      </c>
      <c r="B158" t="s">
        <v>347</v>
      </c>
      <c r="C158" t="s">
        <v>13</v>
      </c>
      <c r="D158">
        <v>54</v>
      </c>
      <c r="E158" t="s">
        <v>22</v>
      </c>
      <c r="F158" t="s">
        <v>37</v>
      </c>
      <c r="G158" t="s">
        <v>32</v>
      </c>
      <c r="H158">
        <v>135953</v>
      </c>
      <c r="I158" t="s">
        <v>33</v>
      </c>
      <c r="J158" t="s">
        <v>25</v>
      </c>
      <c r="K158" s="1">
        <v>43172</v>
      </c>
      <c r="L158">
        <v>8</v>
      </c>
      <c r="M158" t="s">
        <v>1037</v>
      </c>
      <c r="N158">
        <v>2018</v>
      </c>
    </row>
    <row r="159" spans="1:14" x14ac:dyDescent="0.3">
      <c r="A159" t="s">
        <v>348</v>
      </c>
      <c r="B159" t="s">
        <v>349</v>
      </c>
      <c r="C159" t="s">
        <v>21</v>
      </c>
      <c r="D159">
        <v>40</v>
      </c>
      <c r="E159" t="s">
        <v>14</v>
      </c>
      <c r="F159" t="s">
        <v>15</v>
      </c>
      <c r="G159" t="s">
        <v>45</v>
      </c>
      <c r="H159">
        <v>158563</v>
      </c>
      <c r="I159" t="s">
        <v>17</v>
      </c>
      <c r="J159" t="s">
        <v>18</v>
      </c>
      <c r="K159" s="1">
        <v>45774</v>
      </c>
      <c r="L159">
        <v>0</v>
      </c>
      <c r="M159" t="s">
        <v>1038</v>
      </c>
      <c r="N159">
        <v>2025</v>
      </c>
    </row>
    <row r="160" spans="1:14" x14ac:dyDescent="0.3">
      <c r="A160" t="s">
        <v>350</v>
      </c>
      <c r="B160" t="s">
        <v>351</v>
      </c>
      <c r="C160" t="s">
        <v>13</v>
      </c>
      <c r="D160">
        <v>27</v>
      </c>
      <c r="E160" t="s">
        <v>36</v>
      </c>
      <c r="F160" t="s">
        <v>37</v>
      </c>
      <c r="G160" t="s">
        <v>45</v>
      </c>
      <c r="H160">
        <v>143797</v>
      </c>
      <c r="I160" t="s">
        <v>33</v>
      </c>
      <c r="J160" t="s">
        <v>18</v>
      </c>
      <c r="K160" s="1">
        <v>43200</v>
      </c>
      <c r="L160">
        <v>8</v>
      </c>
      <c r="M160" t="s">
        <v>1037</v>
      </c>
      <c r="N160">
        <v>2018</v>
      </c>
    </row>
    <row r="161" spans="1:14" x14ac:dyDescent="0.3">
      <c r="A161" t="s">
        <v>352</v>
      </c>
      <c r="B161" t="s">
        <v>353</v>
      </c>
      <c r="C161" t="s">
        <v>21</v>
      </c>
      <c r="D161">
        <v>71</v>
      </c>
      <c r="E161" t="s">
        <v>53</v>
      </c>
      <c r="F161" t="s">
        <v>15</v>
      </c>
      <c r="G161" t="s">
        <v>50</v>
      </c>
      <c r="H161">
        <v>83888</v>
      </c>
      <c r="I161" t="s">
        <v>42</v>
      </c>
      <c r="J161" t="s">
        <v>18</v>
      </c>
      <c r="K161" s="1">
        <v>42314</v>
      </c>
      <c r="L161">
        <v>10</v>
      </c>
      <c r="M161" t="s">
        <v>1037</v>
      </c>
      <c r="N161">
        <v>2015</v>
      </c>
    </row>
    <row r="162" spans="1:14" x14ac:dyDescent="0.3">
      <c r="A162" t="s">
        <v>354</v>
      </c>
      <c r="B162" t="s">
        <v>355</v>
      </c>
      <c r="C162" t="s">
        <v>13</v>
      </c>
      <c r="D162">
        <v>22</v>
      </c>
      <c r="E162" t="s">
        <v>36</v>
      </c>
      <c r="F162" t="s">
        <v>23</v>
      </c>
      <c r="G162" t="s">
        <v>16</v>
      </c>
      <c r="H162">
        <v>93609</v>
      </c>
      <c r="I162" t="s">
        <v>42</v>
      </c>
      <c r="J162" t="s">
        <v>18</v>
      </c>
      <c r="K162" s="1">
        <v>44252</v>
      </c>
      <c r="L162">
        <v>5</v>
      </c>
      <c r="M162" t="s">
        <v>1036</v>
      </c>
      <c r="N162">
        <v>2021</v>
      </c>
    </row>
    <row r="163" spans="1:14" x14ac:dyDescent="0.3">
      <c r="A163" t="s">
        <v>356</v>
      </c>
      <c r="B163" t="s">
        <v>357</v>
      </c>
      <c r="C163" t="s">
        <v>13</v>
      </c>
      <c r="D163">
        <v>53</v>
      </c>
      <c r="E163" t="s">
        <v>22</v>
      </c>
      <c r="F163" t="s">
        <v>15</v>
      </c>
      <c r="G163" t="s">
        <v>50</v>
      </c>
      <c r="H163">
        <v>29077</v>
      </c>
      <c r="I163" t="s">
        <v>42</v>
      </c>
      <c r="J163" t="s">
        <v>25</v>
      </c>
      <c r="K163" s="1">
        <v>42248</v>
      </c>
      <c r="L163">
        <v>10</v>
      </c>
      <c r="M163" t="s">
        <v>1037</v>
      </c>
      <c r="N163">
        <v>2015</v>
      </c>
    </row>
    <row r="164" spans="1:14" x14ac:dyDescent="0.3">
      <c r="A164" t="s">
        <v>358</v>
      </c>
      <c r="B164" t="s">
        <v>359</v>
      </c>
      <c r="C164" t="s">
        <v>21</v>
      </c>
      <c r="D164">
        <v>51</v>
      </c>
      <c r="E164" t="s">
        <v>22</v>
      </c>
      <c r="F164" t="s">
        <v>37</v>
      </c>
      <c r="G164" t="s">
        <v>16</v>
      </c>
      <c r="H164">
        <v>40953</v>
      </c>
      <c r="I164" t="s">
        <v>42</v>
      </c>
      <c r="J164" t="s">
        <v>18</v>
      </c>
      <c r="K164" s="1">
        <v>44789</v>
      </c>
      <c r="L164">
        <v>3</v>
      </c>
      <c r="M164" t="s">
        <v>1035</v>
      </c>
      <c r="N164">
        <v>2022</v>
      </c>
    </row>
    <row r="165" spans="1:14" x14ac:dyDescent="0.3">
      <c r="A165" t="s">
        <v>360</v>
      </c>
      <c r="B165" t="s">
        <v>361</v>
      </c>
      <c r="C165" t="s">
        <v>21</v>
      </c>
      <c r="D165">
        <v>69</v>
      </c>
      <c r="E165" t="s">
        <v>53</v>
      </c>
      <c r="F165" t="s">
        <v>23</v>
      </c>
      <c r="G165" t="s">
        <v>50</v>
      </c>
      <c r="H165">
        <v>134682</v>
      </c>
      <c r="I165" t="s">
        <v>33</v>
      </c>
      <c r="J165" t="s">
        <v>18</v>
      </c>
      <c r="K165" s="1">
        <v>44257</v>
      </c>
      <c r="L165">
        <v>5</v>
      </c>
      <c r="M165" t="s">
        <v>1036</v>
      </c>
      <c r="N165">
        <v>2021</v>
      </c>
    </row>
    <row r="166" spans="1:14" x14ac:dyDescent="0.3">
      <c r="A166" t="s">
        <v>362</v>
      </c>
      <c r="B166" t="s">
        <v>363</v>
      </c>
      <c r="C166" t="s">
        <v>21</v>
      </c>
      <c r="D166">
        <v>48</v>
      </c>
      <c r="E166" t="s">
        <v>22</v>
      </c>
      <c r="F166" t="s">
        <v>23</v>
      </c>
      <c r="G166" t="s">
        <v>32</v>
      </c>
      <c r="H166">
        <v>87889</v>
      </c>
      <c r="I166" t="s">
        <v>42</v>
      </c>
      <c r="J166" t="s">
        <v>18</v>
      </c>
      <c r="K166" s="1">
        <v>45172</v>
      </c>
      <c r="L166">
        <v>2</v>
      </c>
      <c r="M166" t="s">
        <v>1035</v>
      </c>
      <c r="N166">
        <v>2023</v>
      </c>
    </row>
    <row r="167" spans="1:14" x14ac:dyDescent="0.3">
      <c r="A167" t="s">
        <v>364</v>
      </c>
      <c r="B167" t="s">
        <v>365</v>
      </c>
      <c r="C167" t="s">
        <v>13</v>
      </c>
      <c r="D167">
        <v>27</v>
      </c>
      <c r="E167" t="s">
        <v>36</v>
      </c>
      <c r="F167" t="s">
        <v>23</v>
      </c>
      <c r="G167" t="s">
        <v>38</v>
      </c>
      <c r="H167">
        <v>174893</v>
      </c>
      <c r="I167" t="s">
        <v>17</v>
      </c>
      <c r="J167" t="s">
        <v>18</v>
      </c>
      <c r="K167" s="1">
        <v>42431</v>
      </c>
      <c r="L167">
        <v>10</v>
      </c>
      <c r="M167" t="s">
        <v>1037</v>
      </c>
      <c r="N167">
        <v>2016</v>
      </c>
    </row>
    <row r="168" spans="1:14" x14ac:dyDescent="0.3">
      <c r="A168" t="s">
        <v>366</v>
      </c>
      <c r="B168" t="s">
        <v>367</v>
      </c>
      <c r="C168" t="s">
        <v>21</v>
      </c>
      <c r="D168">
        <v>36</v>
      </c>
      <c r="E168" t="s">
        <v>14</v>
      </c>
      <c r="F168" t="s">
        <v>37</v>
      </c>
      <c r="G168" t="s">
        <v>45</v>
      </c>
      <c r="H168">
        <v>188639</v>
      </c>
      <c r="I168" t="s">
        <v>17</v>
      </c>
      <c r="J168" t="s">
        <v>18</v>
      </c>
      <c r="K168" s="1">
        <v>45492</v>
      </c>
      <c r="L168">
        <v>1</v>
      </c>
      <c r="M168" t="s">
        <v>1038</v>
      </c>
      <c r="N168">
        <v>2024</v>
      </c>
    </row>
    <row r="169" spans="1:14" x14ac:dyDescent="0.3">
      <c r="A169" t="s">
        <v>368</v>
      </c>
      <c r="B169" t="s">
        <v>369</v>
      </c>
      <c r="C169" t="s">
        <v>13</v>
      </c>
      <c r="D169">
        <v>49</v>
      </c>
      <c r="E169" t="s">
        <v>22</v>
      </c>
      <c r="F169" t="s">
        <v>41</v>
      </c>
      <c r="G169" t="s">
        <v>50</v>
      </c>
      <c r="H169">
        <v>135374</v>
      </c>
      <c r="I169" t="s">
        <v>33</v>
      </c>
      <c r="J169" t="s">
        <v>18</v>
      </c>
      <c r="K169" s="1">
        <v>43786</v>
      </c>
      <c r="L169">
        <v>6</v>
      </c>
      <c r="M169" t="s">
        <v>1036</v>
      </c>
      <c r="N169">
        <v>2019</v>
      </c>
    </row>
    <row r="170" spans="1:14" x14ac:dyDescent="0.3">
      <c r="A170" t="s">
        <v>370</v>
      </c>
      <c r="B170" t="s">
        <v>371</v>
      </c>
      <c r="C170" t="s">
        <v>13</v>
      </c>
      <c r="D170">
        <v>18</v>
      </c>
      <c r="E170" t="s">
        <v>36</v>
      </c>
      <c r="F170" t="s">
        <v>41</v>
      </c>
      <c r="G170" t="s">
        <v>32</v>
      </c>
      <c r="H170">
        <v>44860</v>
      </c>
      <c r="I170" t="s">
        <v>42</v>
      </c>
      <c r="J170" t="s">
        <v>18</v>
      </c>
      <c r="K170" s="1">
        <v>45714</v>
      </c>
      <c r="L170">
        <v>1</v>
      </c>
      <c r="M170" t="s">
        <v>1038</v>
      </c>
      <c r="N170">
        <v>2025</v>
      </c>
    </row>
    <row r="171" spans="1:14" x14ac:dyDescent="0.3">
      <c r="A171" t="s">
        <v>372</v>
      </c>
      <c r="B171" t="s">
        <v>373</v>
      </c>
      <c r="C171" t="s">
        <v>21</v>
      </c>
      <c r="D171">
        <v>73</v>
      </c>
      <c r="E171" t="s">
        <v>53</v>
      </c>
      <c r="F171" t="s">
        <v>41</v>
      </c>
      <c r="G171" t="s">
        <v>16</v>
      </c>
      <c r="H171">
        <v>172267</v>
      </c>
      <c r="I171" t="s">
        <v>17</v>
      </c>
      <c r="J171" t="s">
        <v>25</v>
      </c>
      <c r="K171" s="1">
        <v>44887</v>
      </c>
      <c r="L171">
        <v>3</v>
      </c>
      <c r="M171" t="s">
        <v>1035</v>
      </c>
      <c r="N171">
        <v>2022</v>
      </c>
    </row>
    <row r="172" spans="1:14" x14ac:dyDescent="0.3">
      <c r="A172" t="s">
        <v>374</v>
      </c>
      <c r="B172" t="s">
        <v>375</v>
      </c>
      <c r="C172" t="s">
        <v>21</v>
      </c>
      <c r="D172">
        <v>22</v>
      </c>
      <c r="E172" t="s">
        <v>36</v>
      </c>
      <c r="F172" t="s">
        <v>37</v>
      </c>
      <c r="G172" t="s">
        <v>16</v>
      </c>
      <c r="H172">
        <v>97475</v>
      </c>
      <c r="I172" t="s">
        <v>42</v>
      </c>
      <c r="J172" t="s">
        <v>18</v>
      </c>
      <c r="K172" s="1">
        <v>42532</v>
      </c>
      <c r="L172">
        <v>9</v>
      </c>
      <c r="M172" t="s">
        <v>1037</v>
      </c>
      <c r="N172">
        <v>2016</v>
      </c>
    </row>
    <row r="173" spans="1:14" x14ac:dyDescent="0.3">
      <c r="A173" t="s">
        <v>376</v>
      </c>
      <c r="B173" t="s">
        <v>377</v>
      </c>
      <c r="C173" t="s">
        <v>13</v>
      </c>
      <c r="D173">
        <v>62</v>
      </c>
      <c r="E173" t="s">
        <v>53</v>
      </c>
      <c r="F173" t="s">
        <v>23</v>
      </c>
      <c r="G173" t="s">
        <v>45</v>
      </c>
      <c r="H173">
        <v>107266</v>
      </c>
      <c r="I173" t="s">
        <v>33</v>
      </c>
      <c r="J173" t="s">
        <v>18</v>
      </c>
      <c r="K173" s="1">
        <v>43988</v>
      </c>
      <c r="L173">
        <v>5</v>
      </c>
      <c r="M173" t="s">
        <v>1036</v>
      </c>
      <c r="N173">
        <v>2020</v>
      </c>
    </row>
    <row r="174" spans="1:14" x14ac:dyDescent="0.3">
      <c r="A174" t="s">
        <v>378</v>
      </c>
      <c r="B174" t="s">
        <v>379</v>
      </c>
      <c r="C174" t="s">
        <v>13</v>
      </c>
      <c r="D174">
        <v>21</v>
      </c>
      <c r="E174" t="s">
        <v>36</v>
      </c>
      <c r="F174" t="s">
        <v>41</v>
      </c>
      <c r="G174" t="s">
        <v>24</v>
      </c>
      <c r="H174">
        <v>172499</v>
      </c>
      <c r="I174" t="s">
        <v>17</v>
      </c>
      <c r="J174" t="s">
        <v>25</v>
      </c>
      <c r="K174" s="1">
        <v>44501</v>
      </c>
      <c r="L174">
        <v>4</v>
      </c>
      <c r="M174" t="s">
        <v>1036</v>
      </c>
      <c r="N174">
        <v>2021</v>
      </c>
    </row>
    <row r="175" spans="1:14" x14ac:dyDescent="0.3">
      <c r="A175" t="s">
        <v>380</v>
      </c>
      <c r="B175" t="s">
        <v>381</v>
      </c>
      <c r="C175" t="s">
        <v>21</v>
      </c>
      <c r="D175">
        <v>33</v>
      </c>
      <c r="E175" t="s">
        <v>14</v>
      </c>
      <c r="F175" t="s">
        <v>37</v>
      </c>
      <c r="G175" t="s">
        <v>50</v>
      </c>
      <c r="H175">
        <v>120732</v>
      </c>
      <c r="I175" t="s">
        <v>33</v>
      </c>
      <c r="J175" t="s">
        <v>25</v>
      </c>
      <c r="K175" s="1">
        <v>43767</v>
      </c>
      <c r="L175">
        <v>6</v>
      </c>
      <c r="M175" t="s">
        <v>1036</v>
      </c>
      <c r="N175">
        <v>2019</v>
      </c>
    </row>
    <row r="176" spans="1:14" x14ac:dyDescent="0.3">
      <c r="A176" t="s">
        <v>382</v>
      </c>
      <c r="B176" t="s">
        <v>383</v>
      </c>
      <c r="C176" t="s">
        <v>21</v>
      </c>
      <c r="D176">
        <v>41</v>
      </c>
      <c r="E176" t="s">
        <v>14</v>
      </c>
      <c r="F176" t="s">
        <v>41</v>
      </c>
      <c r="G176" t="s">
        <v>28</v>
      </c>
      <c r="H176">
        <v>47083</v>
      </c>
      <c r="I176" t="s">
        <v>42</v>
      </c>
      <c r="J176" t="s">
        <v>18</v>
      </c>
      <c r="K176" s="1">
        <v>43046</v>
      </c>
      <c r="L176">
        <v>8</v>
      </c>
      <c r="M176" t="s">
        <v>1037</v>
      </c>
      <c r="N176">
        <v>2017</v>
      </c>
    </row>
    <row r="177" spans="1:14" x14ac:dyDescent="0.3">
      <c r="A177" t="s">
        <v>384</v>
      </c>
      <c r="B177" t="s">
        <v>385</v>
      </c>
      <c r="C177" t="s">
        <v>21</v>
      </c>
      <c r="D177">
        <v>33</v>
      </c>
      <c r="E177" t="s">
        <v>14</v>
      </c>
      <c r="F177" t="s">
        <v>15</v>
      </c>
      <c r="G177" t="s">
        <v>16</v>
      </c>
      <c r="H177">
        <v>77372</v>
      </c>
      <c r="I177" t="s">
        <v>42</v>
      </c>
      <c r="J177" t="s">
        <v>18</v>
      </c>
      <c r="K177" s="1">
        <v>42292</v>
      </c>
      <c r="L177">
        <v>10</v>
      </c>
      <c r="M177" t="s">
        <v>1037</v>
      </c>
      <c r="N177">
        <v>2015</v>
      </c>
    </row>
    <row r="178" spans="1:14" x14ac:dyDescent="0.3">
      <c r="A178" t="s">
        <v>386</v>
      </c>
      <c r="B178" t="s">
        <v>387</v>
      </c>
      <c r="C178" t="s">
        <v>13</v>
      </c>
      <c r="D178">
        <v>72</v>
      </c>
      <c r="E178" t="s">
        <v>53</v>
      </c>
      <c r="F178" t="s">
        <v>41</v>
      </c>
      <c r="G178" t="s">
        <v>38</v>
      </c>
      <c r="H178">
        <v>143786</v>
      </c>
      <c r="I178" t="s">
        <v>33</v>
      </c>
      <c r="J178" t="s">
        <v>18</v>
      </c>
      <c r="K178" s="1">
        <v>45538</v>
      </c>
      <c r="L178">
        <v>1</v>
      </c>
      <c r="M178" t="s">
        <v>1038</v>
      </c>
      <c r="N178">
        <v>2024</v>
      </c>
    </row>
    <row r="179" spans="1:14" x14ac:dyDescent="0.3">
      <c r="A179" t="s">
        <v>388</v>
      </c>
      <c r="B179" t="s">
        <v>389</v>
      </c>
      <c r="C179" t="s">
        <v>13</v>
      </c>
      <c r="D179">
        <v>19</v>
      </c>
      <c r="E179" t="s">
        <v>36</v>
      </c>
      <c r="F179" t="s">
        <v>41</v>
      </c>
      <c r="G179" t="s">
        <v>38</v>
      </c>
      <c r="H179">
        <v>195136</v>
      </c>
      <c r="I179" t="s">
        <v>17</v>
      </c>
      <c r="J179" t="s">
        <v>25</v>
      </c>
      <c r="K179" s="1">
        <v>45642</v>
      </c>
      <c r="L179">
        <v>1</v>
      </c>
      <c r="M179" t="s">
        <v>1038</v>
      </c>
      <c r="N179">
        <v>2024</v>
      </c>
    </row>
    <row r="180" spans="1:14" x14ac:dyDescent="0.3">
      <c r="A180" t="s">
        <v>390</v>
      </c>
      <c r="B180" t="s">
        <v>391</v>
      </c>
      <c r="C180" t="s">
        <v>13</v>
      </c>
      <c r="D180">
        <v>66</v>
      </c>
      <c r="E180" t="s">
        <v>53</v>
      </c>
      <c r="F180" t="s">
        <v>23</v>
      </c>
      <c r="G180" t="s">
        <v>16</v>
      </c>
      <c r="H180">
        <v>27813</v>
      </c>
      <c r="I180" t="s">
        <v>42</v>
      </c>
      <c r="J180" t="s">
        <v>29</v>
      </c>
      <c r="K180" s="1">
        <v>42803</v>
      </c>
      <c r="L180">
        <v>9</v>
      </c>
      <c r="M180" t="s">
        <v>1037</v>
      </c>
      <c r="N180">
        <v>2017</v>
      </c>
    </row>
    <row r="181" spans="1:14" x14ac:dyDescent="0.3">
      <c r="A181" t="s">
        <v>392</v>
      </c>
      <c r="B181" t="s">
        <v>393</v>
      </c>
      <c r="C181" t="s">
        <v>13</v>
      </c>
      <c r="D181">
        <v>45</v>
      </c>
      <c r="E181" t="s">
        <v>22</v>
      </c>
      <c r="F181" t="s">
        <v>37</v>
      </c>
      <c r="G181" t="s">
        <v>24</v>
      </c>
      <c r="H181">
        <v>51598</v>
      </c>
      <c r="I181" t="s">
        <v>42</v>
      </c>
      <c r="J181" t="s">
        <v>25</v>
      </c>
      <c r="K181" s="1">
        <v>45704</v>
      </c>
      <c r="L181">
        <v>1</v>
      </c>
      <c r="M181" t="s">
        <v>1038</v>
      </c>
      <c r="N181">
        <v>2025</v>
      </c>
    </row>
    <row r="182" spans="1:14" x14ac:dyDescent="0.3">
      <c r="A182" t="s">
        <v>394</v>
      </c>
      <c r="B182" t="s">
        <v>395</v>
      </c>
      <c r="C182" t="s">
        <v>13</v>
      </c>
      <c r="D182">
        <v>49</v>
      </c>
      <c r="E182" t="s">
        <v>22</v>
      </c>
      <c r="F182" t="s">
        <v>23</v>
      </c>
      <c r="G182" t="s">
        <v>24</v>
      </c>
      <c r="H182">
        <v>113106</v>
      </c>
      <c r="I182" t="s">
        <v>33</v>
      </c>
      <c r="J182" t="s">
        <v>18</v>
      </c>
      <c r="K182" s="1">
        <v>42387</v>
      </c>
      <c r="L182">
        <v>10</v>
      </c>
      <c r="M182" t="s">
        <v>1037</v>
      </c>
      <c r="N182">
        <v>2016</v>
      </c>
    </row>
    <row r="183" spans="1:14" x14ac:dyDescent="0.3">
      <c r="A183" t="s">
        <v>396</v>
      </c>
      <c r="B183" t="s">
        <v>397</v>
      </c>
      <c r="C183" t="s">
        <v>13</v>
      </c>
      <c r="D183">
        <v>44</v>
      </c>
      <c r="E183" t="s">
        <v>14</v>
      </c>
      <c r="F183" t="s">
        <v>23</v>
      </c>
      <c r="G183" t="s">
        <v>32</v>
      </c>
      <c r="H183">
        <v>47082</v>
      </c>
      <c r="I183" t="s">
        <v>42</v>
      </c>
      <c r="J183" t="s">
        <v>25</v>
      </c>
      <c r="K183" s="1">
        <v>45843</v>
      </c>
      <c r="L183">
        <v>0</v>
      </c>
      <c r="M183" t="s">
        <v>1038</v>
      </c>
      <c r="N183">
        <v>2025</v>
      </c>
    </row>
    <row r="184" spans="1:14" x14ac:dyDescent="0.3">
      <c r="A184" t="s">
        <v>398</v>
      </c>
      <c r="B184" t="s">
        <v>399</v>
      </c>
      <c r="C184" t="s">
        <v>21</v>
      </c>
      <c r="D184">
        <v>37</v>
      </c>
      <c r="E184" t="s">
        <v>14</v>
      </c>
      <c r="F184" t="s">
        <v>23</v>
      </c>
      <c r="G184" t="s">
        <v>38</v>
      </c>
      <c r="H184">
        <v>49241</v>
      </c>
      <c r="I184" t="s">
        <v>42</v>
      </c>
      <c r="J184" t="s">
        <v>18</v>
      </c>
      <c r="K184" s="1">
        <v>43202</v>
      </c>
      <c r="L184">
        <v>8</v>
      </c>
      <c r="M184" t="s">
        <v>1037</v>
      </c>
      <c r="N184">
        <v>2018</v>
      </c>
    </row>
    <row r="185" spans="1:14" x14ac:dyDescent="0.3">
      <c r="A185" t="s">
        <v>400</v>
      </c>
      <c r="B185" t="s">
        <v>401</v>
      </c>
      <c r="C185" t="s">
        <v>13</v>
      </c>
      <c r="D185">
        <v>41</v>
      </c>
      <c r="E185" t="s">
        <v>14</v>
      </c>
      <c r="F185" t="s">
        <v>23</v>
      </c>
      <c r="G185" t="s">
        <v>32</v>
      </c>
      <c r="H185">
        <v>195641</v>
      </c>
      <c r="I185" t="s">
        <v>17</v>
      </c>
      <c r="J185" t="s">
        <v>18</v>
      </c>
      <c r="K185" s="1">
        <v>44775</v>
      </c>
      <c r="L185">
        <v>3</v>
      </c>
      <c r="M185" t="s">
        <v>1035</v>
      </c>
      <c r="N185">
        <v>2022</v>
      </c>
    </row>
    <row r="186" spans="1:14" x14ac:dyDescent="0.3">
      <c r="A186" t="s">
        <v>402</v>
      </c>
      <c r="B186" t="s">
        <v>403</v>
      </c>
      <c r="C186" t="s">
        <v>13</v>
      </c>
      <c r="D186">
        <v>29</v>
      </c>
      <c r="E186" t="s">
        <v>14</v>
      </c>
      <c r="F186" t="s">
        <v>23</v>
      </c>
      <c r="G186" t="s">
        <v>38</v>
      </c>
      <c r="H186">
        <v>31745</v>
      </c>
      <c r="I186" t="s">
        <v>42</v>
      </c>
      <c r="J186" t="s">
        <v>18</v>
      </c>
      <c r="K186" s="1">
        <v>45422</v>
      </c>
      <c r="L186">
        <v>1</v>
      </c>
      <c r="M186" t="s">
        <v>1038</v>
      </c>
      <c r="N186">
        <v>2024</v>
      </c>
    </row>
    <row r="187" spans="1:14" x14ac:dyDescent="0.3">
      <c r="A187" t="s">
        <v>404</v>
      </c>
      <c r="B187" t="s">
        <v>405</v>
      </c>
      <c r="C187" t="s">
        <v>13</v>
      </c>
      <c r="D187">
        <v>67</v>
      </c>
      <c r="E187" t="s">
        <v>53</v>
      </c>
      <c r="F187" t="s">
        <v>41</v>
      </c>
      <c r="G187" t="s">
        <v>50</v>
      </c>
      <c r="H187">
        <v>46029</v>
      </c>
      <c r="I187" t="s">
        <v>42</v>
      </c>
      <c r="J187" t="s">
        <v>29</v>
      </c>
      <c r="K187" s="1">
        <v>42881</v>
      </c>
      <c r="L187">
        <v>8</v>
      </c>
      <c r="M187" t="s">
        <v>1037</v>
      </c>
      <c r="N187">
        <v>2017</v>
      </c>
    </row>
    <row r="188" spans="1:14" x14ac:dyDescent="0.3">
      <c r="A188" t="s">
        <v>406</v>
      </c>
      <c r="B188" t="s">
        <v>407</v>
      </c>
      <c r="C188" t="s">
        <v>21</v>
      </c>
      <c r="D188">
        <v>52</v>
      </c>
      <c r="E188" t="s">
        <v>22</v>
      </c>
      <c r="F188" t="s">
        <v>23</v>
      </c>
      <c r="G188" t="s">
        <v>50</v>
      </c>
      <c r="H188">
        <v>164097</v>
      </c>
      <c r="I188" t="s">
        <v>17</v>
      </c>
      <c r="J188" t="s">
        <v>18</v>
      </c>
      <c r="K188" s="1">
        <v>45101</v>
      </c>
      <c r="L188">
        <v>2</v>
      </c>
      <c r="M188" t="s">
        <v>1035</v>
      </c>
      <c r="N188">
        <v>2023</v>
      </c>
    </row>
    <row r="189" spans="1:14" x14ac:dyDescent="0.3">
      <c r="A189" t="s">
        <v>408</v>
      </c>
      <c r="B189" t="s">
        <v>409</v>
      </c>
      <c r="C189" t="s">
        <v>13</v>
      </c>
      <c r="D189">
        <v>50</v>
      </c>
      <c r="E189" t="s">
        <v>22</v>
      </c>
      <c r="F189" t="s">
        <v>23</v>
      </c>
      <c r="G189" t="s">
        <v>28</v>
      </c>
      <c r="H189">
        <v>143395</v>
      </c>
      <c r="I189" t="s">
        <v>33</v>
      </c>
      <c r="J189" t="s">
        <v>25</v>
      </c>
      <c r="K189" s="1">
        <v>45211</v>
      </c>
      <c r="L189">
        <v>2</v>
      </c>
      <c r="M189" t="s">
        <v>1035</v>
      </c>
      <c r="N189">
        <v>2023</v>
      </c>
    </row>
    <row r="190" spans="1:14" x14ac:dyDescent="0.3">
      <c r="A190" t="s">
        <v>410</v>
      </c>
      <c r="B190" t="s">
        <v>411</v>
      </c>
      <c r="C190" t="s">
        <v>13</v>
      </c>
      <c r="D190">
        <v>50</v>
      </c>
      <c r="E190" t="s">
        <v>22</v>
      </c>
      <c r="F190" t="s">
        <v>37</v>
      </c>
      <c r="G190" t="s">
        <v>50</v>
      </c>
      <c r="H190">
        <v>165360</v>
      </c>
      <c r="I190" t="s">
        <v>17</v>
      </c>
      <c r="J190" t="s">
        <v>18</v>
      </c>
      <c r="K190" s="1">
        <v>45535</v>
      </c>
      <c r="L190">
        <v>1</v>
      </c>
      <c r="M190" t="s">
        <v>1038</v>
      </c>
      <c r="N190">
        <v>2024</v>
      </c>
    </row>
    <row r="191" spans="1:14" x14ac:dyDescent="0.3">
      <c r="A191" t="s">
        <v>412</v>
      </c>
      <c r="B191" t="s">
        <v>413</v>
      </c>
      <c r="C191" t="s">
        <v>21</v>
      </c>
      <c r="D191">
        <v>68</v>
      </c>
      <c r="E191" t="s">
        <v>53</v>
      </c>
      <c r="F191" t="s">
        <v>15</v>
      </c>
      <c r="G191" t="s">
        <v>28</v>
      </c>
      <c r="H191">
        <v>109186</v>
      </c>
      <c r="I191" t="s">
        <v>33</v>
      </c>
      <c r="J191" t="s">
        <v>18</v>
      </c>
      <c r="K191" s="1">
        <v>43008</v>
      </c>
      <c r="L191">
        <v>8</v>
      </c>
      <c r="M191" t="s">
        <v>1037</v>
      </c>
      <c r="N191">
        <v>2017</v>
      </c>
    </row>
    <row r="192" spans="1:14" x14ac:dyDescent="0.3">
      <c r="A192" t="s">
        <v>414</v>
      </c>
      <c r="B192" t="s">
        <v>415</v>
      </c>
      <c r="C192" t="s">
        <v>13</v>
      </c>
      <c r="D192">
        <v>60</v>
      </c>
      <c r="E192" t="s">
        <v>22</v>
      </c>
      <c r="F192" t="s">
        <v>41</v>
      </c>
      <c r="G192" t="s">
        <v>50</v>
      </c>
      <c r="H192">
        <v>157612</v>
      </c>
      <c r="I192" t="s">
        <v>17</v>
      </c>
      <c r="J192" t="s">
        <v>18</v>
      </c>
      <c r="K192" s="1">
        <v>43780</v>
      </c>
      <c r="L192">
        <v>6</v>
      </c>
      <c r="M192" t="s">
        <v>1036</v>
      </c>
      <c r="N192">
        <v>2019</v>
      </c>
    </row>
    <row r="193" spans="1:14" x14ac:dyDescent="0.3">
      <c r="A193" t="s">
        <v>416</v>
      </c>
      <c r="B193" t="s">
        <v>417</v>
      </c>
      <c r="C193" t="s">
        <v>13</v>
      </c>
      <c r="D193">
        <v>54</v>
      </c>
      <c r="E193" t="s">
        <v>22</v>
      </c>
      <c r="F193" t="s">
        <v>41</v>
      </c>
      <c r="G193" t="s">
        <v>45</v>
      </c>
      <c r="H193">
        <v>117768</v>
      </c>
      <c r="I193" t="s">
        <v>33</v>
      </c>
      <c r="J193" t="s">
        <v>18</v>
      </c>
      <c r="K193" s="1">
        <v>45891</v>
      </c>
      <c r="L193">
        <v>0</v>
      </c>
      <c r="M193" t="s">
        <v>1038</v>
      </c>
      <c r="N193">
        <v>2025</v>
      </c>
    </row>
    <row r="194" spans="1:14" x14ac:dyDescent="0.3">
      <c r="A194" t="s">
        <v>418</v>
      </c>
      <c r="B194" t="s">
        <v>419</v>
      </c>
      <c r="C194" t="s">
        <v>13</v>
      </c>
      <c r="D194">
        <v>29</v>
      </c>
      <c r="E194" t="s">
        <v>14</v>
      </c>
      <c r="F194" t="s">
        <v>41</v>
      </c>
      <c r="G194" t="s">
        <v>50</v>
      </c>
      <c r="H194">
        <v>61846</v>
      </c>
      <c r="I194" t="s">
        <v>42</v>
      </c>
      <c r="J194" t="s">
        <v>25</v>
      </c>
      <c r="K194" s="1">
        <v>44169</v>
      </c>
      <c r="L194">
        <v>5</v>
      </c>
      <c r="M194" t="s">
        <v>1036</v>
      </c>
      <c r="N194">
        <v>2020</v>
      </c>
    </row>
    <row r="195" spans="1:14" x14ac:dyDescent="0.3">
      <c r="A195" t="s">
        <v>420</v>
      </c>
      <c r="B195" t="s">
        <v>421</v>
      </c>
      <c r="C195" t="s">
        <v>13</v>
      </c>
      <c r="D195">
        <v>20</v>
      </c>
      <c r="E195" t="s">
        <v>36</v>
      </c>
      <c r="F195" t="s">
        <v>23</v>
      </c>
      <c r="G195" t="s">
        <v>32</v>
      </c>
      <c r="H195">
        <v>95932</v>
      </c>
      <c r="I195" t="s">
        <v>42</v>
      </c>
      <c r="J195" t="s">
        <v>18</v>
      </c>
      <c r="K195" s="1">
        <v>45446</v>
      </c>
      <c r="L195">
        <v>1</v>
      </c>
      <c r="M195" t="s">
        <v>1038</v>
      </c>
      <c r="N195">
        <v>2024</v>
      </c>
    </row>
    <row r="196" spans="1:14" x14ac:dyDescent="0.3">
      <c r="A196" t="s">
        <v>422</v>
      </c>
      <c r="B196" t="s">
        <v>423</v>
      </c>
      <c r="C196" t="s">
        <v>13</v>
      </c>
      <c r="D196">
        <v>18</v>
      </c>
      <c r="E196" t="s">
        <v>36</v>
      </c>
      <c r="F196" t="s">
        <v>23</v>
      </c>
      <c r="G196" t="s">
        <v>16</v>
      </c>
      <c r="H196">
        <v>168554</v>
      </c>
      <c r="I196" t="s">
        <v>17</v>
      </c>
      <c r="J196" t="s">
        <v>25</v>
      </c>
      <c r="K196" s="1">
        <v>42269</v>
      </c>
      <c r="L196">
        <v>10</v>
      </c>
      <c r="M196" t="s">
        <v>1037</v>
      </c>
      <c r="N196">
        <v>2015</v>
      </c>
    </row>
    <row r="197" spans="1:14" x14ac:dyDescent="0.3">
      <c r="A197" t="s">
        <v>424</v>
      </c>
      <c r="B197" t="s">
        <v>425</v>
      </c>
      <c r="C197" t="s">
        <v>21</v>
      </c>
      <c r="D197">
        <v>50</v>
      </c>
      <c r="E197" t="s">
        <v>22</v>
      </c>
      <c r="F197" t="s">
        <v>23</v>
      </c>
      <c r="G197" t="s">
        <v>32</v>
      </c>
      <c r="H197">
        <v>43411</v>
      </c>
      <c r="I197" t="s">
        <v>42</v>
      </c>
      <c r="J197" t="s">
        <v>25</v>
      </c>
      <c r="K197" s="1">
        <v>43612</v>
      </c>
      <c r="L197">
        <v>6</v>
      </c>
      <c r="M197" t="s">
        <v>1036</v>
      </c>
      <c r="N197">
        <v>2019</v>
      </c>
    </row>
    <row r="198" spans="1:14" x14ac:dyDescent="0.3">
      <c r="A198" t="s">
        <v>426</v>
      </c>
      <c r="B198" t="s">
        <v>427</v>
      </c>
      <c r="C198" t="s">
        <v>21</v>
      </c>
      <c r="D198">
        <v>57</v>
      </c>
      <c r="E198" t="s">
        <v>22</v>
      </c>
      <c r="F198" t="s">
        <v>37</v>
      </c>
      <c r="G198" t="s">
        <v>16</v>
      </c>
      <c r="H198">
        <v>98797</v>
      </c>
      <c r="I198" t="s">
        <v>42</v>
      </c>
      <c r="J198" t="s">
        <v>29</v>
      </c>
      <c r="K198" s="1">
        <v>42402</v>
      </c>
      <c r="L198">
        <v>10</v>
      </c>
      <c r="M198" t="s">
        <v>1037</v>
      </c>
      <c r="N198">
        <v>2016</v>
      </c>
    </row>
    <row r="199" spans="1:14" x14ac:dyDescent="0.3">
      <c r="A199" t="s">
        <v>428</v>
      </c>
      <c r="B199" t="s">
        <v>429</v>
      </c>
      <c r="C199" t="s">
        <v>21</v>
      </c>
      <c r="D199">
        <v>27</v>
      </c>
      <c r="E199" t="s">
        <v>36</v>
      </c>
      <c r="F199" t="s">
        <v>15</v>
      </c>
      <c r="G199" t="s">
        <v>24</v>
      </c>
      <c r="H199">
        <v>72307</v>
      </c>
      <c r="I199" t="s">
        <v>42</v>
      </c>
      <c r="J199" t="s">
        <v>18</v>
      </c>
      <c r="K199" s="1">
        <v>43945</v>
      </c>
      <c r="L199">
        <v>5</v>
      </c>
      <c r="M199" t="s">
        <v>1036</v>
      </c>
      <c r="N199">
        <v>2020</v>
      </c>
    </row>
    <row r="200" spans="1:14" x14ac:dyDescent="0.3">
      <c r="A200" t="s">
        <v>430</v>
      </c>
      <c r="B200" t="s">
        <v>431</v>
      </c>
      <c r="C200" t="s">
        <v>13</v>
      </c>
      <c r="D200">
        <v>60</v>
      </c>
      <c r="E200" t="s">
        <v>22</v>
      </c>
      <c r="F200" t="s">
        <v>23</v>
      </c>
      <c r="G200" t="s">
        <v>32</v>
      </c>
      <c r="H200">
        <v>154165</v>
      </c>
      <c r="I200" t="s">
        <v>17</v>
      </c>
      <c r="J200" t="s">
        <v>18</v>
      </c>
      <c r="K200" s="1">
        <v>43118</v>
      </c>
      <c r="L200">
        <v>8</v>
      </c>
      <c r="M200" t="s">
        <v>1037</v>
      </c>
      <c r="N200">
        <v>2018</v>
      </c>
    </row>
    <row r="201" spans="1:14" x14ac:dyDescent="0.3">
      <c r="A201" t="s">
        <v>432</v>
      </c>
      <c r="B201" t="s">
        <v>433</v>
      </c>
      <c r="C201" t="s">
        <v>13</v>
      </c>
      <c r="D201">
        <v>61</v>
      </c>
      <c r="E201" t="s">
        <v>53</v>
      </c>
      <c r="F201" t="s">
        <v>15</v>
      </c>
      <c r="G201" t="s">
        <v>24</v>
      </c>
      <c r="H201">
        <v>42042</v>
      </c>
      <c r="I201" t="s">
        <v>42</v>
      </c>
      <c r="J201" t="s">
        <v>18</v>
      </c>
      <c r="K201" s="1">
        <v>45365</v>
      </c>
      <c r="L201">
        <v>2</v>
      </c>
      <c r="M201" t="s">
        <v>1035</v>
      </c>
      <c r="N201">
        <v>2024</v>
      </c>
    </row>
    <row r="202" spans="1:14" x14ac:dyDescent="0.3">
      <c r="A202" t="s">
        <v>434</v>
      </c>
      <c r="B202" t="s">
        <v>435</v>
      </c>
      <c r="C202" t="s">
        <v>13</v>
      </c>
      <c r="D202">
        <v>46</v>
      </c>
      <c r="E202" t="s">
        <v>22</v>
      </c>
      <c r="F202" t="s">
        <v>37</v>
      </c>
      <c r="G202" t="s">
        <v>28</v>
      </c>
      <c r="H202">
        <v>72930</v>
      </c>
      <c r="I202" t="s">
        <v>42</v>
      </c>
      <c r="J202" t="s">
        <v>29</v>
      </c>
      <c r="K202" s="1">
        <v>42971</v>
      </c>
      <c r="L202">
        <v>8</v>
      </c>
      <c r="M202" t="s">
        <v>1037</v>
      </c>
      <c r="N202">
        <v>2017</v>
      </c>
    </row>
    <row r="203" spans="1:14" x14ac:dyDescent="0.3">
      <c r="A203" t="s">
        <v>436</v>
      </c>
      <c r="B203" t="s">
        <v>437</v>
      </c>
      <c r="C203" t="s">
        <v>21</v>
      </c>
      <c r="D203">
        <v>30</v>
      </c>
      <c r="E203" t="s">
        <v>14</v>
      </c>
      <c r="F203" t="s">
        <v>41</v>
      </c>
      <c r="G203" t="s">
        <v>28</v>
      </c>
      <c r="H203">
        <v>195485</v>
      </c>
      <c r="I203" t="s">
        <v>17</v>
      </c>
      <c r="J203" t="s">
        <v>29</v>
      </c>
      <c r="K203" s="1">
        <v>43537</v>
      </c>
      <c r="L203">
        <v>7</v>
      </c>
      <c r="M203" t="s">
        <v>1036</v>
      </c>
      <c r="N203">
        <v>2019</v>
      </c>
    </row>
    <row r="204" spans="1:14" x14ac:dyDescent="0.3">
      <c r="A204" t="s">
        <v>438</v>
      </c>
      <c r="B204" t="s">
        <v>439</v>
      </c>
      <c r="C204" t="s">
        <v>13</v>
      </c>
      <c r="D204">
        <v>29</v>
      </c>
      <c r="E204" t="s">
        <v>14</v>
      </c>
      <c r="F204" t="s">
        <v>23</v>
      </c>
      <c r="G204" t="s">
        <v>45</v>
      </c>
      <c r="H204">
        <v>117883</v>
      </c>
      <c r="I204" t="s">
        <v>33</v>
      </c>
      <c r="J204" t="s">
        <v>18</v>
      </c>
      <c r="K204" s="1">
        <v>45525</v>
      </c>
      <c r="L204">
        <v>1</v>
      </c>
      <c r="M204" t="s">
        <v>1038</v>
      </c>
      <c r="N204">
        <v>2024</v>
      </c>
    </row>
    <row r="205" spans="1:14" x14ac:dyDescent="0.3">
      <c r="A205" t="s">
        <v>440</v>
      </c>
      <c r="B205" t="s">
        <v>441</v>
      </c>
      <c r="C205" t="s">
        <v>13</v>
      </c>
      <c r="D205">
        <v>48</v>
      </c>
      <c r="E205" t="s">
        <v>22</v>
      </c>
      <c r="F205" t="s">
        <v>15</v>
      </c>
      <c r="G205" t="s">
        <v>50</v>
      </c>
      <c r="H205">
        <v>53756</v>
      </c>
      <c r="I205" t="s">
        <v>42</v>
      </c>
      <c r="J205" t="s">
        <v>25</v>
      </c>
      <c r="K205" s="1">
        <v>42533</v>
      </c>
      <c r="L205">
        <v>9</v>
      </c>
      <c r="M205" t="s">
        <v>1037</v>
      </c>
      <c r="N205">
        <v>2016</v>
      </c>
    </row>
    <row r="206" spans="1:14" x14ac:dyDescent="0.3">
      <c r="A206" t="s">
        <v>442</v>
      </c>
      <c r="B206" t="s">
        <v>443</v>
      </c>
      <c r="C206" t="s">
        <v>21</v>
      </c>
      <c r="D206">
        <v>63</v>
      </c>
      <c r="E206" t="s">
        <v>53</v>
      </c>
      <c r="F206" t="s">
        <v>15</v>
      </c>
      <c r="G206" t="s">
        <v>32</v>
      </c>
      <c r="H206">
        <v>73268</v>
      </c>
      <c r="I206" t="s">
        <v>42</v>
      </c>
      <c r="J206" t="s">
        <v>18</v>
      </c>
      <c r="K206" s="1">
        <v>45587</v>
      </c>
      <c r="L206">
        <v>1</v>
      </c>
      <c r="M206" t="s">
        <v>1038</v>
      </c>
      <c r="N206">
        <v>2024</v>
      </c>
    </row>
    <row r="207" spans="1:14" x14ac:dyDescent="0.3">
      <c r="A207" t="s">
        <v>444</v>
      </c>
      <c r="B207" t="s">
        <v>445</v>
      </c>
      <c r="C207" t="s">
        <v>13</v>
      </c>
      <c r="D207">
        <v>19</v>
      </c>
      <c r="E207" t="s">
        <v>36</v>
      </c>
      <c r="F207" t="s">
        <v>23</v>
      </c>
      <c r="G207" t="s">
        <v>24</v>
      </c>
      <c r="H207">
        <v>190286</v>
      </c>
      <c r="I207" t="s">
        <v>17</v>
      </c>
      <c r="J207" t="s">
        <v>25</v>
      </c>
      <c r="K207" s="1">
        <v>43918</v>
      </c>
      <c r="L207">
        <v>6</v>
      </c>
      <c r="M207" t="s">
        <v>1036</v>
      </c>
      <c r="N207">
        <v>2020</v>
      </c>
    </row>
    <row r="208" spans="1:14" x14ac:dyDescent="0.3">
      <c r="A208" t="s">
        <v>446</v>
      </c>
      <c r="B208" t="s">
        <v>447</v>
      </c>
      <c r="C208" t="s">
        <v>21</v>
      </c>
      <c r="D208">
        <v>68</v>
      </c>
      <c r="E208" t="s">
        <v>53</v>
      </c>
      <c r="F208" t="s">
        <v>41</v>
      </c>
      <c r="G208" t="s">
        <v>16</v>
      </c>
      <c r="H208">
        <v>179674</v>
      </c>
      <c r="I208" t="s">
        <v>17</v>
      </c>
      <c r="J208" t="s">
        <v>18</v>
      </c>
      <c r="K208" s="1">
        <v>43431</v>
      </c>
      <c r="L208">
        <v>7</v>
      </c>
      <c r="M208" t="s">
        <v>1036</v>
      </c>
      <c r="N208">
        <v>2018</v>
      </c>
    </row>
    <row r="209" spans="1:14" x14ac:dyDescent="0.3">
      <c r="A209" t="s">
        <v>448</v>
      </c>
      <c r="B209" t="s">
        <v>449</v>
      </c>
      <c r="C209" t="s">
        <v>21</v>
      </c>
      <c r="D209">
        <v>67</v>
      </c>
      <c r="E209" t="s">
        <v>53</v>
      </c>
      <c r="F209" t="s">
        <v>41</v>
      </c>
      <c r="G209" t="s">
        <v>28</v>
      </c>
      <c r="H209">
        <v>68901</v>
      </c>
      <c r="I209" t="s">
        <v>42</v>
      </c>
      <c r="J209" t="s">
        <v>25</v>
      </c>
      <c r="K209" s="1">
        <v>44644</v>
      </c>
      <c r="L209">
        <v>4</v>
      </c>
      <c r="M209" t="s">
        <v>1036</v>
      </c>
      <c r="N209">
        <v>2022</v>
      </c>
    </row>
    <row r="210" spans="1:14" x14ac:dyDescent="0.3">
      <c r="A210" t="s">
        <v>450</v>
      </c>
      <c r="B210" t="s">
        <v>451</v>
      </c>
      <c r="C210" t="s">
        <v>21</v>
      </c>
      <c r="D210">
        <v>52</v>
      </c>
      <c r="E210" t="s">
        <v>22</v>
      </c>
      <c r="F210" t="s">
        <v>41</v>
      </c>
      <c r="G210" t="s">
        <v>50</v>
      </c>
      <c r="H210">
        <v>119986</v>
      </c>
      <c r="I210" t="s">
        <v>33</v>
      </c>
      <c r="J210" t="s">
        <v>18</v>
      </c>
      <c r="K210" s="1">
        <v>43935</v>
      </c>
      <c r="L210">
        <v>6</v>
      </c>
      <c r="M210" t="s">
        <v>1036</v>
      </c>
      <c r="N210">
        <v>2020</v>
      </c>
    </row>
    <row r="211" spans="1:14" x14ac:dyDescent="0.3">
      <c r="A211" t="s">
        <v>452</v>
      </c>
      <c r="B211" t="s">
        <v>453</v>
      </c>
      <c r="C211" t="s">
        <v>13</v>
      </c>
      <c r="D211">
        <v>40</v>
      </c>
      <c r="E211" t="s">
        <v>14</v>
      </c>
      <c r="F211" t="s">
        <v>37</v>
      </c>
      <c r="G211" t="s">
        <v>28</v>
      </c>
      <c r="H211">
        <v>183268</v>
      </c>
      <c r="I211" t="s">
        <v>17</v>
      </c>
      <c r="J211" t="s">
        <v>25</v>
      </c>
      <c r="K211" s="1">
        <v>43742</v>
      </c>
      <c r="L211">
        <v>6</v>
      </c>
      <c r="M211" t="s">
        <v>1036</v>
      </c>
      <c r="N211">
        <v>2019</v>
      </c>
    </row>
    <row r="212" spans="1:14" x14ac:dyDescent="0.3">
      <c r="A212" t="s">
        <v>454</v>
      </c>
      <c r="B212" t="s">
        <v>455</v>
      </c>
      <c r="C212" t="s">
        <v>13</v>
      </c>
      <c r="D212">
        <v>34</v>
      </c>
      <c r="E212" t="s">
        <v>14</v>
      </c>
      <c r="F212" t="s">
        <v>15</v>
      </c>
      <c r="G212" t="s">
        <v>16</v>
      </c>
      <c r="H212">
        <v>148386</v>
      </c>
      <c r="I212" t="s">
        <v>33</v>
      </c>
      <c r="J212" t="s">
        <v>25</v>
      </c>
      <c r="K212" s="1">
        <v>43881</v>
      </c>
      <c r="L212">
        <v>6</v>
      </c>
      <c r="M212" t="s">
        <v>1036</v>
      </c>
      <c r="N212">
        <v>2020</v>
      </c>
    </row>
    <row r="213" spans="1:14" x14ac:dyDescent="0.3">
      <c r="A213" t="s">
        <v>456</v>
      </c>
      <c r="B213" t="s">
        <v>457</v>
      </c>
      <c r="C213" t="s">
        <v>13</v>
      </c>
      <c r="D213">
        <v>43</v>
      </c>
      <c r="E213" t="s">
        <v>14</v>
      </c>
      <c r="F213" t="s">
        <v>15</v>
      </c>
      <c r="G213" t="s">
        <v>50</v>
      </c>
      <c r="H213">
        <v>25626</v>
      </c>
      <c r="I213" t="s">
        <v>42</v>
      </c>
      <c r="J213" t="s">
        <v>25</v>
      </c>
      <c r="K213" s="1">
        <v>43477</v>
      </c>
      <c r="L213">
        <v>7</v>
      </c>
      <c r="M213" t="s">
        <v>1036</v>
      </c>
      <c r="N213">
        <v>2019</v>
      </c>
    </row>
    <row r="214" spans="1:14" x14ac:dyDescent="0.3">
      <c r="A214" t="s">
        <v>458</v>
      </c>
      <c r="B214" t="s">
        <v>459</v>
      </c>
      <c r="C214" t="s">
        <v>13</v>
      </c>
      <c r="D214">
        <v>25</v>
      </c>
      <c r="E214" t="s">
        <v>36</v>
      </c>
      <c r="F214" t="s">
        <v>15</v>
      </c>
      <c r="G214" t="s">
        <v>50</v>
      </c>
      <c r="H214">
        <v>158496</v>
      </c>
      <c r="I214" t="s">
        <v>17</v>
      </c>
      <c r="J214" t="s">
        <v>18</v>
      </c>
      <c r="K214" s="1">
        <v>42973</v>
      </c>
      <c r="L214">
        <v>8</v>
      </c>
      <c r="M214" t="s">
        <v>1037</v>
      </c>
      <c r="N214">
        <v>2017</v>
      </c>
    </row>
    <row r="215" spans="1:14" x14ac:dyDescent="0.3">
      <c r="A215" t="s">
        <v>460</v>
      </c>
      <c r="B215" t="s">
        <v>461</v>
      </c>
      <c r="C215" t="s">
        <v>13</v>
      </c>
      <c r="D215">
        <v>46</v>
      </c>
      <c r="E215" t="s">
        <v>22</v>
      </c>
      <c r="F215" t="s">
        <v>37</v>
      </c>
      <c r="G215" t="s">
        <v>24</v>
      </c>
      <c r="H215">
        <v>32857</v>
      </c>
      <c r="I215" t="s">
        <v>42</v>
      </c>
      <c r="J215" t="s">
        <v>18</v>
      </c>
      <c r="K215" s="1">
        <v>44799</v>
      </c>
      <c r="L215">
        <v>3</v>
      </c>
      <c r="M215" t="s">
        <v>1035</v>
      </c>
      <c r="N215">
        <v>2022</v>
      </c>
    </row>
    <row r="216" spans="1:14" x14ac:dyDescent="0.3">
      <c r="A216" t="s">
        <v>462</v>
      </c>
      <c r="B216" t="s">
        <v>463</v>
      </c>
      <c r="C216" t="s">
        <v>13</v>
      </c>
      <c r="D216">
        <v>43</v>
      </c>
      <c r="E216" t="s">
        <v>14</v>
      </c>
      <c r="F216" t="s">
        <v>15</v>
      </c>
      <c r="G216" t="s">
        <v>24</v>
      </c>
      <c r="H216">
        <v>171054</v>
      </c>
      <c r="I216" t="s">
        <v>17</v>
      </c>
      <c r="J216" t="s">
        <v>18</v>
      </c>
      <c r="K216" s="1">
        <v>43877</v>
      </c>
      <c r="L216">
        <v>6</v>
      </c>
      <c r="M216" t="s">
        <v>1036</v>
      </c>
      <c r="N216">
        <v>2020</v>
      </c>
    </row>
    <row r="217" spans="1:14" x14ac:dyDescent="0.3">
      <c r="A217" t="s">
        <v>464</v>
      </c>
      <c r="B217" t="s">
        <v>465</v>
      </c>
      <c r="C217" t="s">
        <v>13</v>
      </c>
      <c r="D217">
        <v>27</v>
      </c>
      <c r="E217" t="s">
        <v>36</v>
      </c>
      <c r="F217" t="s">
        <v>37</v>
      </c>
      <c r="G217" t="s">
        <v>32</v>
      </c>
      <c r="H217">
        <v>153052</v>
      </c>
      <c r="I217" t="s">
        <v>17</v>
      </c>
      <c r="J217" t="s">
        <v>18</v>
      </c>
      <c r="K217" s="1">
        <v>42311</v>
      </c>
      <c r="L217">
        <v>10</v>
      </c>
      <c r="M217" t="s">
        <v>1037</v>
      </c>
      <c r="N217">
        <v>2015</v>
      </c>
    </row>
    <row r="218" spans="1:14" x14ac:dyDescent="0.3">
      <c r="A218" t="s">
        <v>466</v>
      </c>
      <c r="B218" t="s">
        <v>467</v>
      </c>
      <c r="C218" t="s">
        <v>21</v>
      </c>
      <c r="D218">
        <v>43</v>
      </c>
      <c r="E218" t="s">
        <v>14</v>
      </c>
      <c r="F218" t="s">
        <v>41</v>
      </c>
      <c r="G218" t="s">
        <v>32</v>
      </c>
      <c r="H218">
        <v>199362</v>
      </c>
      <c r="I218" t="s">
        <v>17</v>
      </c>
      <c r="J218" t="s">
        <v>18</v>
      </c>
      <c r="K218" s="1">
        <v>45083</v>
      </c>
      <c r="L218">
        <v>2</v>
      </c>
      <c r="M218" t="s">
        <v>1035</v>
      </c>
      <c r="N218">
        <v>2023</v>
      </c>
    </row>
    <row r="219" spans="1:14" x14ac:dyDescent="0.3">
      <c r="A219" t="s">
        <v>468</v>
      </c>
      <c r="B219" t="s">
        <v>469</v>
      </c>
      <c r="C219" t="s">
        <v>13</v>
      </c>
      <c r="D219">
        <v>51</v>
      </c>
      <c r="E219" t="s">
        <v>22</v>
      </c>
      <c r="F219" t="s">
        <v>23</v>
      </c>
      <c r="G219" t="s">
        <v>38</v>
      </c>
      <c r="H219">
        <v>46431</v>
      </c>
      <c r="I219" t="s">
        <v>42</v>
      </c>
      <c r="J219" t="s">
        <v>29</v>
      </c>
      <c r="K219" s="1">
        <v>42586</v>
      </c>
      <c r="L219">
        <v>9</v>
      </c>
      <c r="M219" t="s">
        <v>1037</v>
      </c>
      <c r="N219">
        <v>2016</v>
      </c>
    </row>
    <row r="220" spans="1:14" x14ac:dyDescent="0.3">
      <c r="A220" t="s">
        <v>470</v>
      </c>
      <c r="B220" t="s">
        <v>471</v>
      </c>
      <c r="C220" t="s">
        <v>21</v>
      </c>
      <c r="D220">
        <v>68</v>
      </c>
      <c r="E220" t="s">
        <v>53</v>
      </c>
      <c r="F220" t="s">
        <v>15</v>
      </c>
      <c r="G220" t="s">
        <v>38</v>
      </c>
      <c r="H220">
        <v>104976</v>
      </c>
      <c r="I220" t="s">
        <v>33</v>
      </c>
      <c r="J220" t="s">
        <v>18</v>
      </c>
      <c r="K220" s="1">
        <v>43719</v>
      </c>
      <c r="L220">
        <v>6</v>
      </c>
      <c r="M220" t="s">
        <v>1036</v>
      </c>
      <c r="N220">
        <v>2019</v>
      </c>
    </row>
    <row r="221" spans="1:14" x14ac:dyDescent="0.3">
      <c r="A221" t="s">
        <v>472</v>
      </c>
      <c r="B221" t="s">
        <v>473</v>
      </c>
      <c r="C221" t="s">
        <v>13</v>
      </c>
      <c r="D221">
        <v>58</v>
      </c>
      <c r="E221" t="s">
        <v>22</v>
      </c>
      <c r="F221" t="s">
        <v>15</v>
      </c>
      <c r="G221" t="s">
        <v>45</v>
      </c>
      <c r="H221">
        <v>102711</v>
      </c>
      <c r="I221" t="s">
        <v>33</v>
      </c>
      <c r="J221" t="s">
        <v>18</v>
      </c>
      <c r="K221" s="1">
        <v>45427</v>
      </c>
      <c r="L221">
        <v>1</v>
      </c>
      <c r="M221" t="s">
        <v>1038</v>
      </c>
      <c r="N221">
        <v>2024</v>
      </c>
    </row>
    <row r="222" spans="1:14" x14ac:dyDescent="0.3">
      <c r="A222" t="s">
        <v>474</v>
      </c>
      <c r="B222" t="s">
        <v>475</v>
      </c>
      <c r="C222" t="s">
        <v>13</v>
      </c>
      <c r="D222">
        <v>24</v>
      </c>
      <c r="E222" t="s">
        <v>36</v>
      </c>
      <c r="F222" t="s">
        <v>41</v>
      </c>
      <c r="G222" t="s">
        <v>28</v>
      </c>
      <c r="H222">
        <v>46385</v>
      </c>
      <c r="I222" t="s">
        <v>42</v>
      </c>
      <c r="J222" t="s">
        <v>18</v>
      </c>
      <c r="K222" s="1">
        <v>43046</v>
      </c>
      <c r="L222">
        <v>8</v>
      </c>
      <c r="M222" t="s">
        <v>1037</v>
      </c>
      <c r="N222">
        <v>2017</v>
      </c>
    </row>
    <row r="223" spans="1:14" x14ac:dyDescent="0.3">
      <c r="A223" t="s">
        <v>476</v>
      </c>
      <c r="B223" t="s">
        <v>477</v>
      </c>
      <c r="C223" t="s">
        <v>13</v>
      </c>
      <c r="D223">
        <v>21</v>
      </c>
      <c r="E223" t="s">
        <v>36</v>
      </c>
      <c r="F223" t="s">
        <v>23</v>
      </c>
      <c r="G223" t="s">
        <v>32</v>
      </c>
      <c r="H223">
        <v>189230</v>
      </c>
      <c r="I223" t="s">
        <v>17</v>
      </c>
      <c r="J223" t="s">
        <v>18</v>
      </c>
      <c r="K223" s="1">
        <v>45495</v>
      </c>
      <c r="L223">
        <v>1</v>
      </c>
      <c r="M223" t="s">
        <v>1038</v>
      </c>
      <c r="N223">
        <v>2024</v>
      </c>
    </row>
    <row r="224" spans="1:14" x14ac:dyDescent="0.3">
      <c r="A224" t="s">
        <v>478</v>
      </c>
      <c r="B224" t="s">
        <v>479</v>
      </c>
      <c r="C224" t="s">
        <v>21</v>
      </c>
      <c r="D224">
        <v>70</v>
      </c>
      <c r="E224" t="s">
        <v>53</v>
      </c>
      <c r="F224" t="s">
        <v>37</v>
      </c>
      <c r="G224" t="s">
        <v>24</v>
      </c>
      <c r="H224">
        <v>174091</v>
      </c>
      <c r="I224" t="s">
        <v>17</v>
      </c>
      <c r="J224" t="s">
        <v>25</v>
      </c>
      <c r="K224" s="1">
        <v>42378</v>
      </c>
      <c r="L224">
        <v>10</v>
      </c>
      <c r="M224" t="s">
        <v>1037</v>
      </c>
      <c r="N224">
        <v>2016</v>
      </c>
    </row>
    <row r="225" spans="1:14" x14ac:dyDescent="0.3">
      <c r="A225" t="s">
        <v>480</v>
      </c>
      <c r="B225" t="s">
        <v>481</v>
      </c>
      <c r="C225" t="s">
        <v>21</v>
      </c>
      <c r="D225">
        <v>67</v>
      </c>
      <c r="E225" t="s">
        <v>53</v>
      </c>
      <c r="F225" t="s">
        <v>23</v>
      </c>
      <c r="G225" t="s">
        <v>16</v>
      </c>
      <c r="H225">
        <v>38639</v>
      </c>
      <c r="I225" t="s">
        <v>42</v>
      </c>
      <c r="J225" t="s">
        <v>18</v>
      </c>
      <c r="K225" s="1">
        <v>42653</v>
      </c>
      <c r="L225">
        <v>9</v>
      </c>
      <c r="M225" t="s">
        <v>1037</v>
      </c>
      <c r="N225">
        <v>2016</v>
      </c>
    </row>
    <row r="226" spans="1:14" x14ac:dyDescent="0.3">
      <c r="A226" t="s">
        <v>482</v>
      </c>
      <c r="B226" t="s">
        <v>483</v>
      </c>
      <c r="C226" t="s">
        <v>21</v>
      </c>
      <c r="D226">
        <v>62</v>
      </c>
      <c r="E226" t="s">
        <v>53</v>
      </c>
      <c r="F226" t="s">
        <v>41</v>
      </c>
      <c r="G226" t="s">
        <v>24</v>
      </c>
      <c r="H226">
        <v>105530</v>
      </c>
      <c r="I226" t="s">
        <v>33</v>
      </c>
      <c r="J226" t="s">
        <v>29</v>
      </c>
      <c r="K226" s="1">
        <v>43070</v>
      </c>
      <c r="L226">
        <v>8</v>
      </c>
      <c r="M226" t="s">
        <v>1037</v>
      </c>
      <c r="N226">
        <v>2017</v>
      </c>
    </row>
    <row r="227" spans="1:14" x14ac:dyDescent="0.3">
      <c r="A227" t="s">
        <v>484</v>
      </c>
      <c r="B227" t="s">
        <v>485</v>
      </c>
      <c r="C227" t="s">
        <v>21</v>
      </c>
      <c r="D227">
        <v>28</v>
      </c>
      <c r="E227" t="s">
        <v>36</v>
      </c>
      <c r="F227" t="s">
        <v>41</v>
      </c>
      <c r="G227" t="s">
        <v>28</v>
      </c>
      <c r="H227">
        <v>41563</v>
      </c>
      <c r="I227" t="s">
        <v>42</v>
      </c>
      <c r="J227" t="s">
        <v>18</v>
      </c>
      <c r="K227" s="1">
        <v>45387</v>
      </c>
      <c r="L227">
        <v>2</v>
      </c>
      <c r="M227" t="s">
        <v>1035</v>
      </c>
      <c r="N227">
        <v>2024</v>
      </c>
    </row>
    <row r="228" spans="1:14" x14ac:dyDescent="0.3">
      <c r="A228" t="s">
        <v>486</v>
      </c>
      <c r="B228" t="s">
        <v>487</v>
      </c>
      <c r="C228" t="s">
        <v>13</v>
      </c>
      <c r="D228">
        <v>46</v>
      </c>
      <c r="E228" t="s">
        <v>22</v>
      </c>
      <c r="F228" t="s">
        <v>23</v>
      </c>
      <c r="G228" t="s">
        <v>38</v>
      </c>
      <c r="H228">
        <v>190413</v>
      </c>
      <c r="I228" t="s">
        <v>17</v>
      </c>
      <c r="J228" t="s">
        <v>29</v>
      </c>
      <c r="K228" s="1">
        <v>42873</v>
      </c>
      <c r="L228">
        <v>8</v>
      </c>
      <c r="M228" t="s">
        <v>1037</v>
      </c>
      <c r="N228">
        <v>2017</v>
      </c>
    </row>
    <row r="229" spans="1:14" x14ac:dyDescent="0.3">
      <c r="A229" t="s">
        <v>488</v>
      </c>
      <c r="B229" t="s">
        <v>489</v>
      </c>
      <c r="C229" t="s">
        <v>21</v>
      </c>
      <c r="D229">
        <v>73</v>
      </c>
      <c r="E229" t="s">
        <v>53</v>
      </c>
      <c r="F229" t="s">
        <v>37</v>
      </c>
      <c r="G229" t="s">
        <v>24</v>
      </c>
      <c r="H229">
        <v>135672</v>
      </c>
      <c r="I229" t="s">
        <v>33</v>
      </c>
      <c r="J229" t="s">
        <v>25</v>
      </c>
      <c r="K229" s="1">
        <v>43479</v>
      </c>
      <c r="L229">
        <v>7</v>
      </c>
      <c r="M229" t="s">
        <v>1036</v>
      </c>
      <c r="N229">
        <v>2019</v>
      </c>
    </row>
    <row r="230" spans="1:14" x14ac:dyDescent="0.3">
      <c r="A230" t="s">
        <v>490</v>
      </c>
      <c r="B230" t="s">
        <v>491</v>
      </c>
      <c r="C230" t="s">
        <v>13</v>
      </c>
      <c r="D230">
        <v>53</v>
      </c>
      <c r="E230" t="s">
        <v>22</v>
      </c>
      <c r="F230" t="s">
        <v>37</v>
      </c>
      <c r="G230" t="s">
        <v>45</v>
      </c>
      <c r="H230">
        <v>156848</v>
      </c>
      <c r="I230" t="s">
        <v>17</v>
      </c>
      <c r="J230" t="s">
        <v>18</v>
      </c>
      <c r="K230" s="1">
        <v>44786</v>
      </c>
      <c r="L230">
        <v>3</v>
      </c>
      <c r="M230" t="s">
        <v>1035</v>
      </c>
      <c r="N230">
        <v>2022</v>
      </c>
    </row>
    <row r="231" spans="1:14" x14ac:dyDescent="0.3">
      <c r="A231" t="s">
        <v>492</v>
      </c>
      <c r="B231" t="s">
        <v>493</v>
      </c>
      <c r="C231" t="s">
        <v>13</v>
      </c>
      <c r="D231">
        <v>42</v>
      </c>
      <c r="E231" t="s">
        <v>14</v>
      </c>
      <c r="F231" t="s">
        <v>15</v>
      </c>
      <c r="G231" t="s">
        <v>28</v>
      </c>
      <c r="H231">
        <v>187516</v>
      </c>
      <c r="I231" t="s">
        <v>17</v>
      </c>
      <c r="J231" t="s">
        <v>29</v>
      </c>
      <c r="K231" s="1">
        <v>43184</v>
      </c>
      <c r="L231">
        <v>8</v>
      </c>
      <c r="M231" t="s">
        <v>1037</v>
      </c>
      <c r="N231">
        <v>2018</v>
      </c>
    </row>
    <row r="232" spans="1:14" x14ac:dyDescent="0.3">
      <c r="A232" t="s">
        <v>494</v>
      </c>
      <c r="B232" t="s">
        <v>495</v>
      </c>
      <c r="C232" t="s">
        <v>21</v>
      </c>
      <c r="D232">
        <v>38</v>
      </c>
      <c r="E232" t="s">
        <v>14</v>
      </c>
      <c r="F232" t="s">
        <v>37</v>
      </c>
      <c r="G232" t="s">
        <v>38</v>
      </c>
      <c r="H232">
        <v>159783</v>
      </c>
      <c r="I232" t="s">
        <v>17</v>
      </c>
      <c r="J232" t="s">
        <v>18</v>
      </c>
      <c r="K232" s="1">
        <v>44937</v>
      </c>
      <c r="L232">
        <v>3</v>
      </c>
      <c r="M232" t="s">
        <v>1035</v>
      </c>
      <c r="N232">
        <v>2023</v>
      </c>
    </row>
    <row r="233" spans="1:14" x14ac:dyDescent="0.3">
      <c r="A233" t="s">
        <v>496</v>
      </c>
      <c r="B233" t="s">
        <v>497</v>
      </c>
      <c r="C233" t="s">
        <v>21</v>
      </c>
      <c r="D233">
        <v>74</v>
      </c>
      <c r="E233" t="s">
        <v>53</v>
      </c>
      <c r="F233" t="s">
        <v>23</v>
      </c>
      <c r="G233" t="s">
        <v>16</v>
      </c>
      <c r="H233">
        <v>102970</v>
      </c>
      <c r="I233" t="s">
        <v>33</v>
      </c>
      <c r="J233" t="s">
        <v>25</v>
      </c>
      <c r="K233" s="1">
        <v>43335</v>
      </c>
      <c r="L233">
        <v>7</v>
      </c>
      <c r="M233" t="s">
        <v>1036</v>
      </c>
      <c r="N233">
        <v>2018</v>
      </c>
    </row>
    <row r="234" spans="1:14" x14ac:dyDescent="0.3">
      <c r="A234" t="s">
        <v>498</v>
      </c>
      <c r="B234" t="s">
        <v>499</v>
      </c>
      <c r="C234" t="s">
        <v>21</v>
      </c>
      <c r="D234">
        <v>53</v>
      </c>
      <c r="E234" t="s">
        <v>22</v>
      </c>
      <c r="F234" t="s">
        <v>41</v>
      </c>
      <c r="G234" t="s">
        <v>38</v>
      </c>
      <c r="H234">
        <v>105553</v>
      </c>
      <c r="I234" t="s">
        <v>33</v>
      </c>
      <c r="J234" t="s">
        <v>18</v>
      </c>
      <c r="K234" s="1">
        <v>42932</v>
      </c>
      <c r="L234">
        <v>8</v>
      </c>
      <c r="M234" t="s">
        <v>1037</v>
      </c>
      <c r="N234">
        <v>2017</v>
      </c>
    </row>
    <row r="235" spans="1:14" x14ac:dyDescent="0.3">
      <c r="A235" t="s">
        <v>500</v>
      </c>
      <c r="B235" t="s">
        <v>501</v>
      </c>
      <c r="C235" t="s">
        <v>21</v>
      </c>
      <c r="D235">
        <v>27</v>
      </c>
      <c r="E235" t="s">
        <v>36</v>
      </c>
      <c r="F235" t="s">
        <v>15</v>
      </c>
      <c r="G235" t="s">
        <v>50</v>
      </c>
      <c r="H235">
        <v>181779</v>
      </c>
      <c r="I235" t="s">
        <v>17</v>
      </c>
      <c r="J235" t="s">
        <v>25</v>
      </c>
      <c r="K235" s="1">
        <v>42976</v>
      </c>
      <c r="L235">
        <v>8</v>
      </c>
      <c r="M235" t="s">
        <v>1037</v>
      </c>
      <c r="N235">
        <v>2017</v>
      </c>
    </row>
    <row r="236" spans="1:14" x14ac:dyDescent="0.3">
      <c r="A236" t="s">
        <v>502</v>
      </c>
      <c r="B236" t="s">
        <v>503</v>
      </c>
      <c r="C236" t="s">
        <v>21</v>
      </c>
      <c r="D236">
        <v>54</v>
      </c>
      <c r="E236" t="s">
        <v>22</v>
      </c>
      <c r="F236" t="s">
        <v>15</v>
      </c>
      <c r="G236" t="s">
        <v>45</v>
      </c>
      <c r="H236">
        <v>190182</v>
      </c>
      <c r="I236" t="s">
        <v>17</v>
      </c>
      <c r="J236" t="s">
        <v>25</v>
      </c>
      <c r="K236" s="1">
        <v>45033</v>
      </c>
      <c r="L236">
        <v>2</v>
      </c>
      <c r="M236" t="s">
        <v>1035</v>
      </c>
      <c r="N236">
        <v>2023</v>
      </c>
    </row>
    <row r="237" spans="1:14" x14ac:dyDescent="0.3">
      <c r="A237" t="s">
        <v>504</v>
      </c>
      <c r="B237" t="s">
        <v>505</v>
      </c>
      <c r="C237" t="s">
        <v>21</v>
      </c>
      <c r="D237">
        <v>26</v>
      </c>
      <c r="E237" t="s">
        <v>36</v>
      </c>
      <c r="F237" t="s">
        <v>41</v>
      </c>
      <c r="G237" t="s">
        <v>28</v>
      </c>
      <c r="H237">
        <v>102879</v>
      </c>
      <c r="I237" t="s">
        <v>33</v>
      </c>
      <c r="J237" t="s">
        <v>25</v>
      </c>
      <c r="K237" s="1">
        <v>42866</v>
      </c>
      <c r="L237">
        <v>8</v>
      </c>
      <c r="M237" t="s">
        <v>1037</v>
      </c>
      <c r="N237">
        <v>2017</v>
      </c>
    </row>
    <row r="238" spans="1:14" x14ac:dyDescent="0.3">
      <c r="A238" t="s">
        <v>506</v>
      </c>
      <c r="B238" t="s">
        <v>507</v>
      </c>
      <c r="C238" t="s">
        <v>21</v>
      </c>
      <c r="D238">
        <v>41</v>
      </c>
      <c r="E238" t="s">
        <v>14</v>
      </c>
      <c r="F238" t="s">
        <v>37</v>
      </c>
      <c r="G238" t="s">
        <v>16</v>
      </c>
      <c r="H238">
        <v>189899</v>
      </c>
      <c r="I238" t="s">
        <v>17</v>
      </c>
      <c r="J238" t="s">
        <v>25</v>
      </c>
      <c r="K238" s="1">
        <v>45579</v>
      </c>
      <c r="L238">
        <v>1</v>
      </c>
      <c r="M238" t="s">
        <v>1038</v>
      </c>
      <c r="N238">
        <v>2024</v>
      </c>
    </row>
    <row r="239" spans="1:14" x14ac:dyDescent="0.3">
      <c r="A239" t="s">
        <v>508</v>
      </c>
      <c r="B239" t="s">
        <v>509</v>
      </c>
      <c r="C239" t="s">
        <v>21</v>
      </c>
      <c r="D239">
        <v>52</v>
      </c>
      <c r="E239" t="s">
        <v>22</v>
      </c>
      <c r="F239" t="s">
        <v>41</v>
      </c>
      <c r="G239" t="s">
        <v>45</v>
      </c>
      <c r="H239">
        <v>156727</v>
      </c>
      <c r="I239" t="s">
        <v>17</v>
      </c>
      <c r="J239" t="s">
        <v>18</v>
      </c>
      <c r="K239" s="1">
        <v>44108</v>
      </c>
      <c r="L239">
        <v>5</v>
      </c>
      <c r="M239" t="s">
        <v>1036</v>
      </c>
      <c r="N239">
        <v>2020</v>
      </c>
    </row>
    <row r="240" spans="1:14" x14ac:dyDescent="0.3">
      <c r="A240" t="s">
        <v>510</v>
      </c>
      <c r="B240" t="s">
        <v>511</v>
      </c>
      <c r="C240" t="s">
        <v>13</v>
      </c>
      <c r="D240">
        <v>66</v>
      </c>
      <c r="E240" t="s">
        <v>53</v>
      </c>
      <c r="F240" t="s">
        <v>37</v>
      </c>
      <c r="G240" t="s">
        <v>38</v>
      </c>
      <c r="H240">
        <v>64859</v>
      </c>
      <c r="I240" t="s">
        <v>42</v>
      </c>
      <c r="J240" t="s">
        <v>18</v>
      </c>
      <c r="K240" s="1">
        <v>45601</v>
      </c>
      <c r="L240">
        <v>1</v>
      </c>
      <c r="M240" t="s">
        <v>1038</v>
      </c>
      <c r="N240">
        <v>2024</v>
      </c>
    </row>
    <row r="241" spans="1:14" x14ac:dyDescent="0.3">
      <c r="A241" t="s">
        <v>512</v>
      </c>
      <c r="B241" t="s">
        <v>513</v>
      </c>
      <c r="C241" t="s">
        <v>21</v>
      </c>
      <c r="D241">
        <v>52</v>
      </c>
      <c r="E241" t="s">
        <v>22</v>
      </c>
      <c r="F241" t="s">
        <v>41</v>
      </c>
      <c r="G241" t="s">
        <v>45</v>
      </c>
      <c r="H241">
        <v>72098</v>
      </c>
      <c r="I241" t="s">
        <v>42</v>
      </c>
      <c r="J241" t="s">
        <v>18</v>
      </c>
      <c r="K241" s="1">
        <v>44544</v>
      </c>
      <c r="L241">
        <v>4</v>
      </c>
      <c r="M241" t="s">
        <v>1036</v>
      </c>
      <c r="N241">
        <v>2021</v>
      </c>
    </row>
    <row r="242" spans="1:14" x14ac:dyDescent="0.3">
      <c r="A242" t="s">
        <v>514</v>
      </c>
      <c r="B242" t="s">
        <v>515</v>
      </c>
      <c r="C242" t="s">
        <v>21</v>
      </c>
      <c r="D242">
        <v>65</v>
      </c>
      <c r="E242" t="s">
        <v>53</v>
      </c>
      <c r="F242" t="s">
        <v>23</v>
      </c>
      <c r="G242" t="s">
        <v>28</v>
      </c>
      <c r="H242">
        <v>166323</v>
      </c>
      <c r="I242" t="s">
        <v>17</v>
      </c>
      <c r="J242" t="s">
        <v>18</v>
      </c>
      <c r="K242" s="1">
        <v>45420</v>
      </c>
      <c r="L242">
        <v>1</v>
      </c>
      <c r="M242" t="s">
        <v>1038</v>
      </c>
      <c r="N242">
        <v>2024</v>
      </c>
    </row>
    <row r="243" spans="1:14" x14ac:dyDescent="0.3">
      <c r="A243" t="s">
        <v>516</v>
      </c>
      <c r="B243" t="s">
        <v>517</v>
      </c>
      <c r="C243" t="s">
        <v>13</v>
      </c>
      <c r="D243">
        <v>53</v>
      </c>
      <c r="E243" t="s">
        <v>22</v>
      </c>
      <c r="F243" t="s">
        <v>37</v>
      </c>
      <c r="G243" t="s">
        <v>32</v>
      </c>
      <c r="H243">
        <v>142413</v>
      </c>
      <c r="I243" t="s">
        <v>33</v>
      </c>
      <c r="J243" t="s">
        <v>25</v>
      </c>
      <c r="K243" s="1">
        <v>44622</v>
      </c>
      <c r="L243">
        <v>4</v>
      </c>
      <c r="M243" t="s">
        <v>1036</v>
      </c>
      <c r="N243">
        <v>2022</v>
      </c>
    </row>
    <row r="244" spans="1:14" x14ac:dyDescent="0.3">
      <c r="A244" t="s">
        <v>518</v>
      </c>
      <c r="B244" t="s">
        <v>519</v>
      </c>
      <c r="C244" t="s">
        <v>21</v>
      </c>
      <c r="D244">
        <v>35</v>
      </c>
      <c r="E244" t="s">
        <v>14</v>
      </c>
      <c r="F244" t="s">
        <v>23</v>
      </c>
      <c r="G244" t="s">
        <v>45</v>
      </c>
      <c r="H244">
        <v>20526</v>
      </c>
      <c r="I244" t="s">
        <v>42</v>
      </c>
      <c r="J244" t="s">
        <v>18</v>
      </c>
      <c r="K244" s="1">
        <v>43688</v>
      </c>
      <c r="L244">
        <v>6</v>
      </c>
      <c r="M244" t="s">
        <v>1036</v>
      </c>
      <c r="N244">
        <v>2019</v>
      </c>
    </row>
    <row r="245" spans="1:14" x14ac:dyDescent="0.3">
      <c r="A245" t="s">
        <v>520</v>
      </c>
      <c r="B245" t="s">
        <v>521</v>
      </c>
      <c r="C245" t="s">
        <v>13</v>
      </c>
      <c r="D245">
        <v>66</v>
      </c>
      <c r="E245" t="s">
        <v>53</v>
      </c>
      <c r="F245" t="s">
        <v>15</v>
      </c>
      <c r="G245" t="s">
        <v>50</v>
      </c>
      <c r="H245">
        <v>88760</v>
      </c>
      <c r="I245" t="s">
        <v>42</v>
      </c>
      <c r="J245" t="s">
        <v>29</v>
      </c>
      <c r="K245" s="1">
        <v>44922</v>
      </c>
      <c r="L245">
        <v>3</v>
      </c>
      <c r="M245" t="s">
        <v>1035</v>
      </c>
      <c r="N245">
        <v>2022</v>
      </c>
    </row>
    <row r="246" spans="1:14" x14ac:dyDescent="0.3">
      <c r="A246" t="s">
        <v>522</v>
      </c>
      <c r="B246" t="s">
        <v>523</v>
      </c>
      <c r="C246" t="s">
        <v>13</v>
      </c>
      <c r="D246">
        <v>56</v>
      </c>
      <c r="E246" t="s">
        <v>22</v>
      </c>
      <c r="F246" t="s">
        <v>41</v>
      </c>
      <c r="G246" t="s">
        <v>45</v>
      </c>
      <c r="H246">
        <v>67837</v>
      </c>
      <c r="I246" t="s">
        <v>42</v>
      </c>
      <c r="J246" t="s">
        <v>25</v>
      </c>
      <c r="K246" s="1">
        <v>43395</v>
      </c>
      <c r="L246">
        <v>7</v>
      </c>
      <c r="M246" t="s">
        <v>1036</v>
      </c>
      <c r="N246">
        <v>2018</v>
      </c>
    </row>
    <row r="247" spans="1:14" x14ac:dyDescent="0.3">
      <c r="A247" t="s">
        <v>524</v>
      </c>
      <c r="B247" t="s">
        <v>525</v>
      </c>
      <c r="C247" t="s">
        <v>21</v>
      </c>
      <c r="D247">
        <v>49</v>
      </c>
      <c r="E247" t="s">
        <v>22</v>
      </c>
      <c r="F247" t="s">
        <v>15</v>
      </c>
      <c r="G247" t="s">
        <v>38</v>
      </c>
      <c r="H247">
        <v>31536</v>
      </c>
      <c r="I247" t="s">
        <v>42</v>
      </c>
      <c r="J247" t="s">
        <v>25</v>
      </c>
      <c r="K247" s="1">
        <v>43113</v>
      </c>
      <c r="L247">
        <v>8</v>
      </c>
      <c r="M247" t="s">
        <v>1037</v>
      </c>
      <c r="N247">
        <v>2018</v>
      </c>
    </row>
    <row r="248" spans="1:14" x14ac:dyDescent="0.3">
      <c r="A248" t="s">
        <v>526</v>
      </c>
      <c r="B248" t="s">
        <v>527</v>
      </c>
      <c r="C248" t="s">
        <v>13</v>
      </c>
      <c r="D248">
        <v>41</v>
      </c>
      <c r="E248" t="s">
        <v>14</v>
      </c>
      <c r="F248" t="s">
        <v>15</v>
      </c>
      <c r="G248" t="s">
        <v>38</v>
      </c>
      <c r="H248">
        <v>48541</v>
      </c>
      <c r="I248" t="s">
        <v>42</v>
      </c>
      <c r="J248" t="s">
        <v>18</v>
      </c>
      <c r="K248" s="1">
        <v>44257</v>
      </c>
      <c r="L248">
        <v>5</v>
      </c>
      <c r="M248" t="s">
        <v>1036</v>
      </c>
      <c r="N248">
        <v>2021</v>
      </c>
    </row>
    <row r="249" spans="1:14" x14ac:dyDescent="0.3">
      <c r="A249" t="s">
        <v>528</v>
      </c>
      <c r="B249" t="s">
        <v>529</v>
      </c>
      <c r="C249" t="s">
        <v>13</v>
      </c>
      <c r="D249">
        <v>40</v>
      </c>
      <c r="E249" t="s">
        <v>14</v>
      </c>
      <c r="F249" t="s">
        <v>15</v>
      </c>
      <c r="G249" t="s">
        <v>16</v>
      </c>
      <c r="H249">
        <v>99083</v>
      </c>
      <c r="I249" t="s">
        <v>42</v>
      </c>
      <c r="J249" t="s">
        <v>25</v>
      </c>
      <c r="K249" s="1">
        <v>45179</v>
      </c>
      <c r="L249">
        <v>2</v>
      </c>
      <c r="M249" t="s">
        <v>1035</v>
      </c>
      <c r="N249">
        <v>2023</v>
      </c>
    </row>
    <row r="250" spans="1:14" x14ac:dyDescent="0.3">
      <c r="A250" t="s">
        <v>530</v>
      </c>
      <c r="B250" t="s">
        <v>531</v>
      </c>
      <c r="C250" t="s">
        <v>13</v>
      </c>
      <c r="D250">
        <v>49</v>
      </c>
      <c r="E250" t="s">
        <v>22</v>
      </c>
      <c r="F250" t="s">
        <v>15</v>
      </c>
      <c r="G250" t="s">
        <v>38</v>
      </c>
      <c r="H250">
        <v>54531</v>
      </c>
      <c r="I250" t="s">
        <v>42</v>
      </c>
      <c r="J250" t="s">
        <v>29</v>
      </c>
      <c r="K250" s="1">
        <v>44203</v>
      </c>
      <c r="L250">
        <v>5</v>
      </c>
      <c r="M250" t="s">
        <v>1036</v>
      </c>
      <c r="N250">
        <v>2021</v>
      </c>
    </row>
    <row r="251" spans="1:14" x14ac:dyDescent="0.3">
      <c r="A251" t="s">
        <v>532</v>
      </c>
      <c r="B251" t="s">
        <v>533</v>
      </c>
      <c r="C251" t="s">
        <v>13</v>
      </c>
      <c r="D251">
        <v>54</v>
      </c>
      <c r="E251" t="s">
        <v>22</v>
      </c>
      <c r="F251" t="s">
        <v>41</v>
      </c>
      <c r="G251" t="s">
        <v>24</v>
      </c>
      <c r="H251">
        <v>28712</v>
      </c>
      <c r="I251" t="s">
        <v>42</v>
      </c>
      <c r="J251" t="s">
        <v>18</v>
      </c>
      <c r="K251" s="1">
        <v>43294</v>
      </c>
      <c r="L251">
        <v>7</v>
      </c>
      <c r="M251" t="s">
        <v>1036</v>
      </c>
      <c r="N251">
        <v>2018</v>
      </c>
    </row>
    <row r="252" spans="1:14" x14ac:dyDescent="0.3">
      <c r="A252" t="s">
        <v>534</v>
      </c>
      <c r="B252" t="s">
        <v>535</v>
      </c>
      <c r="C252" t="s">
        <v>21</v>
      </c>
      <c r="D252">
        <v>29</v>
      </c>
      <c r="E252" t="s">
        <v>14</v>
      </c>
      <c r="F252" t="s">
        <v>15</v>
      </c>
      <c r="G252" t="s">
        <v>28</v>
      </c>
      <c r="H252">
        <v>124101</v>
      </c>
      <c r="I252" t="s">
        <v>33</v>
      </c>
      <c r="J252" t="s">
        <v>25</v>
      </c>
      <c r="K252" s="1">
        <v>45422</v>
      </c>
      <c r="L252">
        <v>1</v>
      </c>
      <c r="M252" t="s">
        <v>1038</v>
      </c>
      <c r="N252">
        <v>2024</v>
      </c>
    </row>
    <row r="253" spans="1:14" x14ac:dyDescent="0.3">
      <c r="A253" t="s">
        <v>536</v>
      </c>
      <c r="B253" t="s">
        <v>537</v>
      </c>
      <c r="C253" t="s">
        <v>13</v>
      </c>
      <c r="D253">
        <v>66</v>
      </c>
      <c r="E253" t="s">
        <v>53</v>
      </c>
      <c r="F253" t="s">
        <v>41</v>
      </c>
      <c r="G253" t="s">
        <v>28</v>
      </c>
      <c r="H253">
        <v>85455</v>
      </c>
      <c r="I253" t="s">
        <v>42</v>
      </c>
      <c r="J253" t="s">
        <v>25</v>
      </c>
      <c r="K253" s="1">
        <v>45078</v>
      </c>
      <c r="L253">
        <v>2</v>
      </c>
      <c r="M253" t="s">
        <v>1035</v>
      </c>
      <c r="N253">
        <v>2023</v>
      </c>
    </row>
    <row r="254" spans="1:14" x14ac:dyDescent="0.3">
      <c r="A254" t="s">
        <v>538</v>
      </c>
      <c r="B254" t="s">
        <v>539</v>
      </c>
      <c r="C254" t="s">
        <v>21</v>
      </c>
      <c r="D254">
        <v>72</v>
      </c>
      <c r="E254" t="s">
        <v>53</v>
      </c>
      <c r="F254" t="s">
        <v>41</v>
      </c>
      <c r="G254" t="s">
        <v>32</v>
      </c>
      <c r="H254">
        <v>94744</v>
      </c>
      <c r="I254" t="s">
        <v>42</v>
      </c>
      <c r="J254" t="s">
        <v>18</v>
      </c>
      <c r="K254" s="1">
        <v>43323</v>
      </c>
      <c r="L254">
        <v>7</v>
      </c>
      <c r="M254" t="s">
        <v>1036</v>
      </c>
      <c r="N254">
        <v>2018</v>
      </c>
    </row>
    <row r="255" spans="1:14" x14ac:dyDescent="0.3">
      <c r="A255" t="s">
        <v>540</v>
      </c>
      <c r="B255" t="s">
        <v>541</v>
      </c>
      <c r="C255" t="s">
        <v>13</v>
      </c>
      <c r="D255">
        <v>30</v>
      </c>
      <c r="E255" t="s">
        <v>14</v>
      </c>
      <c r="F255" t="s">
        <v>23</v>
      </c>
      <c r="G255" t="s">
        <v>32</v>
      </c>
      <c r="H255">
        <v>149749</v>
      </c>
      <c r="I255" t="s">
        <v>33</v>
      </c>
      <c r="J255" t="s">
        <v>18</v>
      </c>
      <c r="K255" s="1">
        <v>42930</v>
      </c>
      <c r="L255">
        <v>8</v>
      </c>
      <c r="M255" t="s">
        <v>1037</v>
      </c>
      <c r="N255">
        <v>2017</v>
      </c>
    </row>
    <row r="256" spans="1:14" x14ac:dyDescent="0.3">
      <c r="A256" t="s">
        <v>542</v>
      </c>
      <c r="B256" t="s">
        <v>543</v>
      </c>
      <c r="C256" t="s">
        <v>13</v>
      </c>
      <c r="D256">
        <v>40</v>
      </c>
      <c r="E256" t="s">
        <v>14</v>
      </c>
      <c r="F256" t="s">
        <v>37</v>
      </c>
      <c r="G256" t="s">
        <v>28</v>
      </c>
      <c r="H256">
        <v>25109</v>
      </c>
      <c r="I256" t="s">
        <v>42</v>
      </c>
      <c r="J256" t="s">
        <v>18</v>
      </c>
      <c r="K256" s="1">
        <v>42673</v>
      </c>
      <c r="L256">
        <v>9</v>
      </c>
      <c r="M256" t="s">
        <v>1037</v>
      </c>
      <c r="N256">
        <v>2016</v>
      </c>
    </row>
    <row r="257" spans="1:14" x14ac:dyDescent="0.3">
      <c r="A257" t="s">
        <v>544</v>
      </c>
      <c r="B257" t="s">
        <v>545</v>
      </c>
      <c r="C257" t="s">
        <v>13</v>
      </c>
      <c r="D257">
        <v>42</v>
      </c>
      <c r="E257" t="s">
        <v>14</v>
      </c>
      <c r="F257" t="s">
        <v>37</v>
      </c>
      <c r="G257" t="s">
        <v>50</v>
      </c>
      <c r="H257">
        <v>69268</v>
      </c>
      <c r="I257" t="s">
        <v>42</v>
      </c>
      <c r="J257" t="s">
        <v>18</v>
      </c>
      <c r="K257" s="1">
        <v>44081</v>
      </c>
      <c r="L257">
        <v>5</v>
      </c>
      <c r="M257" t="s">
        <v>1036</v>
      </c>
      <c r="N257">
        <v>2020</v>
      </c>
    </row>
    <row r="258" spans="1:14" x14ac:dyDescent="0.3">
      <c r="A258" t="s">
        <v>546</v>
      </c>
      <c r="B258" t="s">
        <v>547</v>
      </c>
      <c r="C258" t="s">
        <v>13</v>
      </c>
      <c r="D258">
        <v>52</v>
      </c>
      <c r="E258" t="s">
        <v>22</v>
      </c>
      <c r="F258" t="s">
        <v>41</v>
      </c>
      <c r="G258" t="s">
        <v>32</v>
      </c>
      <c r="H258">
        <v>74615</v>
      </c>
      <c r="I258" t="s">
        <v>42</v>
      </c>
      <c r="J258" t="s">
        <v>18</v>
      </c>
      <c r="K258" s="1">
        <v>42953</v>
      </c>
      <c r="L258">
        <v>8</v>
      </c>
      <c r="M258" t="s">
        <v>1037</v>
      </c>
      <c r="N258">
        <v>2017</v>
      </c>
    </row>
    <row r="259" spans="1:14" x14ac:dyDescent="0.3">
      <c r="A259" t="s">
        <v>548</v>
      </c>
      <c r="B259" t="s">
        <v>549</v>
      </c>
      <c r="C259" t="s">
        <v>21</v>
      </c>
      <c r="D259">
        <v>58</v>
      </c>
      <c r="E259" t="s">
        <v>22</v>
      </c>
      <c r="F259" t="s">
        <v>23</v>
      </c>
      <c r="G259" t="s">
        <v>16</v>
      </c>
      <c r="H259">
        <v>102503</v>
      </c>
      <c r="I259" t="s">
        <v>33</v>
      </c>
      <c r="J259" t="s">
        <v>18</v>
      </c>
      <c r="K259" s="1">
        <v>45819</v>
      </c>
      <c r="L259">
        <v>0</v>
      </c>
      <c r="M259" t="s">
        <v>1038</v>
      </c>
      <c r="N259">
        <v>2025</v>
      </c>
    </row>
    <row r="260" spans="1:14" x14ac:dyDescent="0.3">
      <c r="A260" t="s">
        <v>550</v>
      </c>
      <c r="B260" t="s">
        <v>551</v>
      </c>
      <c r="C260" t="s">
        <v>21</v>
      </c>
      <c r="D260">
        <v>47</v>
      </c>
      <c r="E260" t="s">
        <v>22</v>
      </c>
      <c r="F260" t="s">
        <v>41</v>
      </c>
      <c r="G260" t="s">
        <v>38</v>
      </c>
      <c r="H260">
        <v>180831</v>
      </c>
      <c r="I260" t="s">
        <v>17</v>
      </c>
      <c r="J260" t="s">
        <v>18</v>
      </c>
      <c r="K260" s="1">
        <v>44115</v>
      </c>
      <c r="L260">
        <v>5</v>
      </c>
      <c r="M260" t="s">
        <v>1036</v>
      </c>
      <c r="N260">
        <v>2020</v>
      </c>
    </row>
    <row r="261" spans="1:14" x14ac:dyDescent="0.3">
      <c r="A261" t="s">
        <v>552</v>
      </c>
      <c r="B261" t="s">
        <v>553</v>
      </c>
      <c r="C261" t="s">
        <v>13</v>
      </c>
      <c r="D261">
        <v>34</v>
      </c>
      <c r="E261" t="s">
        <v>14</v>
      </c>
      <c r="F261" t="s">
        <v>41</v>
      </c>
      <c r="G261" t="s">
        <v>28</v>
      </c>
      <c r="H261">
        <v>105708</v>
      </c>
      <c r="I261" t="s">
        <v>33</v>
      </c>
      <c r="J261" t="s">
        <v>18</v>
      </c>
      <c r="K261" s="1">
        <v>44588</v>
      </c>
      <c r="L261">
        <v>4</v>
      </c>
      <c r="M261" t="s">
        <v>1036</v>
      </c>
      <c r="N261">
        <v>2022</v>
      </c>
    </row>
    <row r="262" spans="1:14" x14ac:dyDescent="0.3">
      <c r="A262" t="s">
        <v>554</v>
      </c>
      <c r="B262" t="s">
        <v>555</v>
      </c>
      <c r="C262" t="s">
        <v>13</v>
      </c>
      <c r="D262">
        <v>66</v>
      </c>
      <c r="E262" t="s">
        <v>53</v>
      </c>
      <c r="F262" t="s">
        <v>41</v>
      </c>
      <c r="G262" t="s">
        <v>32</v>
      </c>
      <c r="H262">
        <v>122471</v>
      </c>
      <c r="I262" t="s">
        <v>33</v>
      </c>
      <c r="J262" t="s">
        <v>29</v>
      </c>
      <c r="K262" s="1">
        <v>43744</v>
      </c>
      <c r="L262">
        <v>6</v>
      </c>
      <c r="M262" t="s">
        <v>1036</v>
      </c>
      <c r="N262">
        <v>2019</v>
      </c>
    </row>
    <row r="263" spans="1:14" x14ac:dyDescent="0.3">
      <c r="A263" t="s">
        <v>556</v>
      </c>
      <c r="B263" t="s">
        <v>557</v>
      </c>
      <c r="C263" t="s">
        <v>21</v>
      </c>
      <c r="D263">
        <v>37</v>
      </c>
      <c r="E263" t="s">
        <v>14</v>
      </c>
      <c r="F263" t="s">
        <v>23</v>
      </c>
      <c r="G263" t="s">
        <v>28</v>
      </c>
      <c r="H263">
        <v>177661</v>
      </c>
      <c r="I263" t="s">
        <v>17</v>
      </c>
      <c r="J263" t="s">
        <v>18</v>
      </c>
      <c r="K263" s="1">
        <v>45516</v>
      </c>
      <c r="L263">
        <v>1</v>
      </c>
      <c r="M263" t="s">
        <v>1038</v>
      </c>
      <c r="N263">
        <v>2024</v>
      </c>
    </row>
    <row r="264" spans="1:14" x14ac:dyDescent="0.3">
      <c r="A264" t="s">
        <v>558</v>
      </c>
      <c r="B264" t="s">
        <v>559</v>
      </c>
      <c r="C264" t="s">
        <v>13</v>
      </c>
      <c r="D264">
        <v>65</v>
      </c>
      <c r="E264" t="s">
        <v>53</v>
      </c>
      <c r="F264" t="s">
        <v>37</v>
      </c>
      <c r="G264" t="s">
        <v>24</v>
      </c>
      <c r="H264">
        <v>181087</v>
      </c>
      <c r="I264" t="s">
        <v>17</v>
      </c>
      <c r="J264" t="s">
        <v>29</v>
      </c>
      <c r="K264" s="1">
        <v>43829</v>
      </c>
      <c r="L264">
        <v>6</v>
      </c>
      <c r="M264" t="s">
        <v>1036</v>
      </c>
      <c r="N264">
        <v>2019</v>
      </c>
    </row>
    <row r="265" spans="1:14" x14ac:dyDescent="0.3">
      <c r="A265" t="s">
        <v>560</v>
      </c>
      <c r="B265" t="s">
        <v>561</v>
      </c>
      <c r="C265" t="s">
        <v>13</v>
      </c>
      <c r="D265">
        <v>42</v>
      </c>
      <c r="E265" t="s">
        <v>14</v>
      </c>
      <c r="F265" t="s">
        <v>23</v>
      </c>
      <c r="G265" t="s">
        <v>45</v>
      </c>
      <c r="H265">
        <v>180081</v>
      </c>
      <c r="I265" t="s">
        <v>17</v>
      </c>
      <c r="J265" t="s">
        <v>18</v>
      </c>
      <c r="K265" s="1">
        <v>42297</v>
      </c>
      <c r="L265">
        <v>10</v>
      </c>
      <c r="M265" t="s">
        <v>1037</v>
      </c>
      <c r="N265">
        <v>2015</v>
      </c>
    </row>
    <row r="266" spans="1:14" x14ac:dyDescent="0.3">
      <c r="A266" t="s">
        <v>562</v>
      </c>
      <c r="B266" t="s">
        <v>563</v>
      </c>
      <c r="C266" t="s">
        <v>13</v>
      </c>
      <c r="D266">
        <v>39</v>
      </c>
      <c r="E266" t="s">
        <v>14</v>
      </c>
      <c r="F266" t="s">
        <v>15</v>
      </c>
      <c r="G266" t="s">
        <v>38</v>
      </c>
      <c r="H266">
        <v>103309</v>
      </c>
      <c r="I266" t="s">
        <v>33</v>
      </c>
      <c r="J266" t="s">
        <v>18</v>
      </c>
      <c r="K266" s="1">
        <v>44102</v>
      </c>
      <c r="L266">
        <v>5</v>
      </c>
      <c r="M266" t="s">
        <v>1036</v>
      </c>
      <c r="N266">
        <v>2020</v>
      </c>
    </row>
    <row r="267" spans="1:14" x14ac:dyDescent="0.3">
      <c r="A267" t="s">
        <v>564</v>
      </c>
      <c r="B267" t="s">
        <v>565</v>
      </c>
      <c r="C267" t="s">
        <v>21</v>
      </c>
      <c r="D267">
        <v>30</v>
      </c>
      <c r="E267" t="s">
        <v>14</v>
      </c>
      <c r="F267" t="s">
        <v>23</v>
      </c>
      <c r="G267" t="s">
        <v>28</v>
      </c>
      <c r="H267">
        <v>146446</v>
      </c>
      <c r="I267" t="s">
        <v>33</v>
      </c>
      <c r="J267" t="s">
        <v>18</v>
      </c>
      <c r="K267" s="1">
        <v>42770</v>
      </c>
      <c r="L267">
        <v>9</v>
      </c>
      <c r="M267" t="s">
        <v>1037</v>
      </c>
      <c r="N267">
        <v>2017</v>
      </c>
    </row>
    <row r="268" spans="1:14" x14ac:dyDescent="0.3">
      <c r="A268" t="s">
        <v>566</v>
      </c>
      <c r="B268" t="s">
        <v>567</v>
      </c>
      <c r="C268" t="s">
        <v>21</v>
      </c>
      <c r="D268">
        <v>36</v>
      </c>
      <c r="E268" t="s">
        <v>14</v>
      </c>
      <c r="F268" t="s">
        <v>23</v>
      </c>
      <c r="G268" t="s">
        <v>45</v>
      </c>
      <c r="H268">
        <v>126661</v>
      </c>
      <c r="I268" t="s">
        <v>33</v>
      </c>
      <c r="J268" t="s">
        <v>18</v>
      </c>
      <c r="K268" s="1">
        <v>44437</v>
      </c>
      <c r="L268">
        <v>4</v>
      </c>
      <c r="M268" t="s">
        <v>1036</v>
      </c>
      <c r="N268">
        <v>2021</v>
      </c>
    </row>
    <row r="269" spans="1:14" x14ac:dyDescent="0.3">
      <c r="A269" t="s">
        <v>568</v>
      </c>
      <c r="B269" t="s">
        <v>569</v>
      </c>
      <c r="C269" t="s">
        <v>21</v>
      </c>
      <c r="D269">
        <v>66</v>
      </c>
      <c r="E269" t="s">
        <v>53</v>
      </c>
      <c r="F269" t="s">
        <v>23</v>
      </c>
      <c r="G269" t="s">
        <v>32</v>
      </c>
      <c r="H269">
        <v>177215</v>
      </c>
      <c r="I269" t="s">
        <v>17</v>
      </c>
      <c r="J269" t="s">
        <v>18</v>
      </c>
      <c r="K269" s="1">
        <v>43819</v>
      </c>
      <c r="L269">
        <v>6</v>
      </c>
      <c r="M269" t="s">
        <v>1036</v>
      </c>
      <c r="N269">
        <v>2019</v>
      </c>
    </row>
    <row r="270" spans="1:14" x14ac:dyDescent="0.3">
      <c r="A270" t="s">
        <v>570</v>
      </c>
      <c r="B270" t="s">
        <v>571</v>
      </c>
      <c r="C270" t="s">
        <v>13</v>
      </c>
      <c r="D270">
        <v>53</v>
      </c>
      <c r="E270" t="s">
        <v>22</v>
      </c>
      <c r="F270" t="s">
        <v>23</v>
      </c>
      <c r="G270" t="s">
        <v>45</v>
      </c>
      <c r="H270">
        <v>26154</v>
      </c>
      <c r="I270" t="s">
        <v>42</v>
      </c>
      <c r="J270" t="s">
        <v>25</v>
      </c>
      <c r="K270" s="1">
        <v>43150</v>
      </c>
      <c r="L270">
        <v>8</v>
      </c>
      <c r="M270" t="s">
        <v>1037</v>
      </c>
      <c r="N270">
        <v>2018</v>
      </c>
    </row>
    <row r="271" spans="1:14" x14ac:dyDescent="0.3">
      <c r="A271" t="s">
        <v>572</v>
      </c>
      <c r="B271" t="s">
        <v>573</v>
      </c>
      <c r="C271" t="s">
        <v>13</v>
      </c>
      <c r="D271">
        <v>29</v>
      </c>
      <c r="E271" t="s">
        <v>14</v>
      </c>
      <c r="F271" t="s">
        <v>37</v>
      </c>
      <c r="G271" t="s">
        <v>38</v>
      </c>
      <c r="H271">
        <v>172876</v>
      </c>
      <c r="I271" t="s">
        <v>17</v>
      </c>
      <c r="J271" t="s">
        <v>18</v>
      </c>
      <c r="K271" s="1">
        <v>42737</v>
      </c>
      <c r="L271">
        <v>9</v>
      </c>
      <c r="M271" t="s">
        <v>1037</v>
      </c>
      <c r="N271">
        <v>2017</v>
      </c>
    </row>
    <row r="272" spans="1:14" x14ac:dyDescent="0.3">
      <c r="A272" t="s">
        <v>574</v>
      </c>
      <c r="B272" t="s">
        <v>575</v>
      </c>
      <c r="C272" t="s">
        <v>21</v>
      </c>
      <c r="D272">
        <v>58</v>
      </c>
      <c r="E272" t="s">
        <v>22</v>
      </c>
      <c r="F272" t="s">
        <v>15</v>
      </c>
      <c r="G272" t="s">
        <v>28</v>
      </c>
      <c r="H272">
        <v>192760</v>
      </c>
      <c r="I272" t="s">
        <v>17</v>
      </c>
      <c r="J272" t="s">
        <v>25</v>
      </c>
      <c r="K272" s="1">
        <v>45051</v>
      </c>
      <c r="L272">
        <v>2</v>
      </c>
      <c r="M272" t="s">
        <v>1035</v>
      </c>
      <c r="N272">
        <v>2023</v>
      </c>
    </row>
    <row r="273" spans="1:14" x14ac:dyDescent="0.3">
      <c r="A273" t="s">
        <v>576</v>
      </c>
      <c r="B273" t="s">
        <v>577</v>
      </c>
      <c r="C273" t="s">
        <v>21</v>
      </c>
      <c r="D273">
        <v>36</v>
      </c>
      <c r="E273" t="s">
        <v>14</v>
      </c>
      <c r="F273" t="s">
        <v>37</v>
      </c>
      <c r="G273" t="s">
        <v>24</v>
      </c>
      <c r="H273">
        <v>84288</v>
      </c>
      <c r="I273" t="s">
        <v>42</v>
      </c>
      <c r="J273" t="s">
        <v>25</v>
      </c>
      <c r="K273" s="1">
        <v>43890</v>
      </c>
      <c r="L273">
        <v>6</v>
      </c>
      <c r="M273" t="s">
        <v>1036</v>
      </c>
      <c r="N273">
        <v>2020</v>
      </c>
    </row>
    <row r="274" spans="1:14" x14ac:dyDescent="0.3">
      <c r="A274" t="s">
        <v>578</v>
      </c>
      <c r="B274" t="s">
        <v>579</v>
      </c>
      <c r="C274" t="s">
        <v>21</v>
      </c>
      <c r="D274">
        <v>29</v>
      </c>
      <c r="E274" t="s">
        <v>14</v>
      </c>
      <c r="F274" t="s">
        <v>37</v>
      </c>
      <c r="G274" t="s">
        <v>50</v>
      </c>
      <c r="H274">
        <v>71195</v>
      </c>
      <c r="I274" t="s">
        <v>42</v>
      </c>
      <c r="J274" t="s">
        <v>18</v>
      </c>
      <c r="K274" s="1">
        <v>44008</v>
      </c>
      <c r="L274">
        <v>5</v>
      </c>
      <c r="M274" t="s">
        <v>1036</v>
      </c>
      <c r="N274">
        <v>2020</v>
      </c>
    </row>
    <row r="275" spans="1:14" x14ac:dyDescent="0.3">
      <c r="A275" t="s">
        <v>580</v>
      </c>
      <c r="B275" t="s">
        <v>581</v>
      </c>
      <c r="C275" t="s">
        <v>21</v>
      </c>
      <c r="D275">
        <v>26</v>
      </c>
      <c r="E275" t="s">
        <v>36</v>
      </c>
      <c r="F275" t="s">
        <v>23</v>
      </c>
      <c r="G275" t="s">
        <v>32</v>
      </c>
      <c r="H275">
        <v>40581</v>
      </c>
      <c r="I275" t="s">
        <v>42</v>
      </c>
      <c r="J275" t="s">
        <v>18</v>
      </c>
      <c r="K275" s="1">
        <v>45559</v>
      </c>
      <c r="L275">
        <v>1</v>
      </c>
      <c r="M275" t="s">
        <v>1038</v>
      </c>
      <c r="N275">
        <v>2024</v>
      </c>
    </row>
    <row r="276" spans="1:14" x14ac:dyDescent="0.3">
      <c r="A276" t="s">
        <v>582</v>
      </c>
      <c r="B276" t="s">
        <v>583</v>
      </c>
      <c r="C276" t="s">
        <v>13</v>
      </c>
      <c r="D276">
        <v>24</v>
      </c>
      <c r="E276" t="s">
        <v>36</v>
      </c>
      <c r="F276" t="s">
        <v>41</v>
      </c>
      <c r="G276" t="s">
        <v>28</v>
      </c>
      <c r="H276">
        <v>50087</v>
      </c>
      <c r="I276" t="s">
        <v>42</v>
      </c>
      <c r="J276" t="s">
        <v>25</v>
      </c>
      <c r="K276" s="1">
        <v>43775</v>
      </c>
      <c r="L276">
        <v>6</v>
      </c>
      <c r="M276" t="s">
        <v>1036</v>
      </c>
      <c r="N276">
        <v>2019</v>
      </c>
    </row>
    <row r="277" spans="1:14" x14ac:dyDescent="0.3">
      <c r="A277" t="s">
        <v>584</v>
      </c>
      <c r="B277" t="s">
        <v>585</v>
      </c>
      <c r="C277" t="s">
        <v>21</v>
      </c>
      <c r="D277">
        <v>45</v>
      </c>
      <c r="E277" t="s">
        <v>22</v>
      </c>
      <c r="F277" t="s">
        <v>41</v>
      </c>
      <c r="G277" t="s">
        <v>38</v>
      </c>
      <c r="H277">
        <v>184053</v>
      </c>
      <c r="I277" t="s">
        <v>17</v>
      </c>
      <c r="J277" t="s">
        <v>18</v>
      </c>
      <c r="K277" s="1">
        <v>44122</v>
      </c>
      <c r="L277">
        <v>5</v>
      </c>
      <c r="M277" t="s">
        <v>1036</v>
      </c>
      <c r="N277">
        <v>2020</v>
      </c>
    </row>
    <row r="278" spans="1:14" x14ac:dyDescent="0.3">
      <c r="A278" t="s">
        <v>586</v>
      </c>
      <c r="B278" t="s">
        <v>587</v>
      </c>
      <c r="C278" t="s">
        <v>13</v>
      </c>
      <c r="D278">
        <v>31</v>
      </c>
      <c r="E278" t="s">
        <v>14</v>
      </c>
      <c r="F278" t="s">
        <v>37</v>
      </c>
      <c r="G278" t="s">
        <v>32</v>
      </c>
      <c r="H278">
        <v>89298</v>
      </c>
      <c r="I278" t="s">
        <v>42</v>
      </c>
      <c r="J278" t="s">
        <v>18</v>
      </c>
      <c r="K278" s="1">
        <v>43083</v>
      </c>
      <c r="L278">
        <v>8</v>
      </c>
      <c r="M278" t="s">
        <v>1037</v>
      </c>
      <c r="N278">
        <v>2017</v>
      </c>
    </row>
    <row r="279" spans="1:14" x14ac:dyDescent="0.3">
      <c r="A279" t="s">
        <v>588</v>
      </c>
      <c r="B279" t="s">
        <v>589</v>
      </c>
      <c r="C279" t="s">
        <v>21</v>
      </c>
      <c r="D279">
        <v>48</v>
      </c>
      <c r="E279" t="s">
        <v>22</v>
      </c>
      <c r="F279" t="s">
        <v>37</v>
      </c>
      <c r="G279" t="s">
        <v>16</v>
      </c>
      <c r="H279">
        <v>66167</v>
      </c>
      <c r="I279" t="s">
        <v>42</v>
      </c>
      <c r="J279" t="s">
        <v>29</v>
      </c>
      <c r="K279" s="1">
        <v>43497</v>
      </c>
      <c r="L279">
        <v>7</v>
      </c>
      <c r="M279" t="s">
        <v>1036</v>
      </c>
      <c r="N279">
        <v>2019</v>
      </c>
    </row>
    <row r="280" spans="1:14" x14ac:dyDescent="0.3">
      <c r="A280" t="s">
        <v>590</v>
      </c>
      <c r="B280" t="s">
        <v>591</v>
      </c>
      <c r="C280" t="s">
        <v>13</v>
      </c>
      <c r="D280">
        <v>69</v>
      </c>
      <c r="E280" t="s">
        <v>53</v>
      </c>
      <c r="F280" t="s">
        <v>23</v>
      </c>
      <c r="G280" t="s">
        <v>45</v>
      </c>
      <c r="H280">
        <v>194480</v>
      </c>
      <c r="I280" t="s">
        <v>17</v>
      </c>
      <c r="J280" t="s">
        <v>18</v>
      </c>
      <c r="K280" s="1">
        <v>43316</v>
      </c>
      <c r="L280">
        <v>7</v>
      </c>
      <c r="M280" t="s">
        <v>1036</v>
      </c>
      <c r="N280">
        <v>2018</v>
      </c>
    </row>
    <row r="281" spans="1:14" x14ac:dyDescent="0.3">
      <c r="A281" t="s">
        <v>592</v>
      </c>
      <c r="B281" t="s">
        <v>593</v>
      </c>
      <c r="C281" t="s">
        <v>21</v>
      </c>
      <c r="D281">
        <v>36</v>
      </c>
      <c r="E281" t="s">
        <v>14</v>
      </c>
      <c r="F281" t="s">
        <v>37</v>
      </c>
      <c r="G281" t="s">
        <v>50</v>
      </c>
      <c r="H281">
        <v>59499</v>
      </c>
      <c r="I281" t="s">
        <v>42</v>
      </c>
      <c r="J281" t="s">
        <v>25</v>
      </c>
      <c r="K281" s="1">
        <v>42882</v>
      </c>
      <c r="L281">
        <v>8</v>
      </c>
      <c r="M281" t="s">
        <v>1037</v>
      </c>
      <c r="N281">
        <v>2017</v>
      </c>
    </row>
    <row r="282" spans="1:14" x14ac:dyDescent="0.3">
      <c r="A282" t="s">
        <v>594</v>
      </c>
      <c r="B282" t="s">
        <v>595</v>
      </c>
      <c r="C282" t="s">
        <v>21</v>
      </c>
      <c r="D282">
        <v>64</v>
      </c>
      <c r="E282" t="s">
        <v>53</v>
      </c>
      <c r="F282" t="s">
        <v>23</v>
      </c>
      <c r="G282" t="s">
        <v>38</v>
      </c>
      <c r="H282">
        <v>145816</v>
      </c>
      <c r="I282" t="s">
        <v>33</v>
      </c>
      <c r="J282" t="s">
        <v>29</v>
      </c>
      <c r="K282" s="1">
        <v>44500</v>
      </c>
      <c r="L282">
        <v>4</v>
      </c>
      <c r="M282" t="s">
        <v>1036</v>
      </c>
      <c r="N282">
        <v>2021</v>
      </c>
    </row>
    <row r="283" spans="1:14" x14ac:dyDescent="0.3">
      <c r="A283" t="s">
        <v>596</v>
      </c>
      <c r="B283" t="s">
        <v>597</v>
      </c>
      <c r="C283" t="s">
        <v>21</v>
      </c>
      <c r="D283">
        <v>33</v>
      </c>
      <c r="E283" t="s">
        <v>14</v>
      </c>
      <c r="F283" t="s">
        <v>41</v>
      </c>
      <c r="G283" t="s">
        <v>16</v>
      </c>
      <c r="H283">
        <v>189631</v>
      </c>
      <c r="I283" t="s">
        <v>17</v>
      </c>
      <c r="J283" t="s">
        <v>18</v>
      </c>
      <c r="K283" s="1">
        <v>42880</v>
      </c>
      <c r="L283">
        <v>8</v>
      </c>
      <c r="M283" t="s">
        <v>1037</v>
      </c>
      <c r="N283">
        <v>2017</v>
      </c>
    </row>
    <row r="284" spans="1:14" x14ac:dyDescent="0.3">
      <c r="A284" t="s">
        <v>598</v>
      </c>
      <c r="B284" t="s">
        <v>599</v>
      </c>
      <c r="C284" t="s">
        <v>21</v>
      </c>
      <c r="D284">
        <v>70</v>
      </c>
      <c r="E284" t="s">
        <v>53</v>
      </c>
      <c r="F284" t="s">
        <v>41</v>
      </c>
      <c r="G284" t="s">
        <v>28</v>
      </c>
      <c r="H284">
        <v>116347</v>
      </c>
      <c r="I284" t="s">
        <v>33</v>
      </c>
      <c r="J284" t="s">
        <v>18</v>
      </c>
      <c r="K284" s="1">
        <v>42754</v>
      </c>
      <c r="L284">
        <v>9</v>
      </c>
      <c r="M284" t="s">
        <v>1037</v>
      </c>
      <c r="N284">
        <v>2017</v>
      </c>
    </row>
    <row r="285" spans="1:14" x14ac:dyDescent="0.3">
      <c r="A285" t="s">
        <v>600</v>
      </c>
      <c r="B285" t="s">
        <v>601</v>
      </c>
      <c r="C285" t="s">
        <v>13</v>
      </c>
      <c r="D285">
        <v>22</v>
      </c>
      <c r="E285" t="s">
        <v>36</v>
      </c>
      <c r="F285" t="s">
        <v>15</v>
      </c>
      <c r="G285" t="s">
        <v>24</v>
      </c>
      <c r="H285">
        <v>68787</v>
      </c>
      <c r="I285" t="s">
        <v>42</v>
      </c>
      <c r="J285" t="s">
        <v>18</v>
      </c>
      <c r="K285" s="1">
        <v>42305</v>
      </c>
      <c r="L285">
        <v>10</v>
      </c>
      <c r="M285" t="s">
        <v>1037</v>
      </c>
      <c r="N285">
        <v>2015</v>
      </c>
    </row>
    <row r="286" spans="1:14" x14ac:dyDescent="0.3">
      <c r="A286" t="s">
        <v>602</v>
      </c>
      <c r="B286" t="s">
        <v>603</v>
      </c>
      <c r="C286" t="s">
        <v>21</v>
      </c>
      <c r="D286">
        <v>52</v>
      </c>
      <c r="E286" t="s">
        <v>22</v>
      </c>
      <c r="F286" t="s">
        <v>41</v>
      </c>
      <c r="G286" t="s">
        <v>32</v>
      </c>
      <c r="H286">
        <v>55488</v>
      </c>
      <c r="I286" t="s">
        <v>42</v>
      </c>
      <c r="J286" t="s">
        <v>18</v>
      </c>
      <c r="K286" s="1">
        <v>44249</v>
      </c>
      <c r="L286">
        <v>5</v>
      </c>
      <c r="M286" t="s">
        <v>1036</v>
      </c>
      <c r="N286">
        <v>2021</v>
      </c>
    </row>
    <row r="287" spans="1:14" x14ac:dyDescent="0.3">
      <c r="A287" t="s">
        <v>604</v>
      </c>
      <c r="B287" t="s">
        <v>605</v>
      </c>
      <c r="C287" t="s">
        <v>13</v>
      </c>
      <c r="D287">
        <v>29</v>
      </c>
      <c r="E287" t="s">
        <v>14</v>
      </c>
      <c r="F287" t="s">
        <v>37</v>
      </c>
      <c r="G287" t="s">
        <v>45</v>
      </c>
      <c r="H287">
        <v>94441</v>
      </c>
      <c r="I287" t="s">
        <v>42</v>
      </c>
      <c r="J287" t="s">
        <v>18</v>
      </c>
      <c r="K287" s="1">
        <v>43856</v>
      </c>
      <c r="L287">
        <v>6</v>
      </c>
      <c r="M287" t="s">
        <v>1036</v>
      </c>
      <c r="N287">
        <v>2020</v>
      </c>
    </row>
    <row r="288" spans="1:14" x14ac:dyDescent="0.3">
      <c r="A288" t="s">
        <v>606</v>
      </c>
      <c r="B288" t="s">
        <v>607</v>
      </c>
      <c r="C288" t="s">
        <v>13</v>
      </c>
      <c r="D288">
        <v>42</v>
      </c>
      <c r="E288" t="s">
        <v>14</v>
      </c>
      <c r="F288" t="s">
        <v>41</v>
      </c>
      <c r="G288" t="s">
        <v>32</v>
      </c>
      <c r="H288">
        <v>42431</v>
      </c>
      <c r="I288" t="s">
        <v>42</v>
      </c>
      <c r="J288" t="s">
        <v>25</v>
      </c>
      <c r="K288" s="1">
        <v>45769</v>
      </c>
      <c r="L288">
        <v>0</v>
      </c>
      <c r="M288" t="s">
        <v>1038</v>
      </c>
      <c r="N288">
        <v>2025</v>
      </c>
    </row>
    <row r="289" spans="1:14" x14ac:dyDescent="0.3">
      <c r="A289" t="s">
        <v>608</v>
      </c>
      <c r="B289" t="s">
        <v>609</v>
      </c>
      <c r="C289" t="s">
        <v>13</v>
      </c>
      <c r="D289">
        <v>69</v>
      </c>
      <c r="E289" t="s">
        <v>53</v>
      </c>
      <c r="F289" t="s">
        <v>23</v>
      </c>
      <c r="G289" t="s">
        <v>50</v>
      </c>
      <c r="H289">
        <v>81681</v>
      </c>
      <c r="I289" t="s">
        <v>42</v>
      </c>
      <c r="J289" t="s">
        <v>18</v>
      </c>
      <c r="K289" s="1">
        <v>44856</v>
      </c>
      <c r="L289">
        <v>3</v>
      </c>
      <c r="M289" t="s">
        <v>1035</v>
      </c>
      <c r="N289">
        <v>2022</v>
      </c>
    </row>
    <row r="290" spans="1:14" x14ac:dyDescent="0.3">
      <c r="A290" t="s">
        <v>610</v>
      </c>
      <c r="B290" t="s">
        <v>611</v>
      </c>
      <c r="C290" t="s">
        <v>13</v>
      </c>
      <c r="D290">
        <v>38</v>
      </c>
      <c r="E290" t="s">
        <v>14</v>
      </c>
      <c r="F290" t="s">
        <v>41</v>
      </c>
      <c r="G290" t="s">
        <v>28</v>
      </c>
      <c r="H290">
        <v>142720</v>
      </c>
      <c r="I290" t="s">
        <v>33</v>
      </c>
      <c r="J290" t="s">
        <v>18</v>
      </c>
      <c r="K290" s="1">
        <v>44265</v>
      </c>
      <c r="L290">
        <v>5</v>
      </c>
      <c r="M290" t="s">
        <v>1036</v>
      </c>
      <c r="N290">
        <v>2021</v>
      </c>
    </row>
    <row r="291" spans="1:14" x14ac:dyDescent="0.3">
      <c r="A291" t="s">
        <v>612</v>
      </c>
      <c r="B291" t="s">
        <v>613</v>
      </c>
      <c r="C291" t="s">
        <v>21</v>
      </c>
      <c r="D291">
        <v>53</v>
      </c>
      <c r="E291" t="s">
        <v>22</v>
      </c>
      <c r="F291" t="s">
        <v>15</v>
      </c>
      <c r="G291" t="s">
        <v>32</v>
      </c>
      <c r="H291">
        <v>69153</v>
      </c>
      <c r="I291" t="s">
        <v>42</v>
      </c>
      <c r="J291" t="s">
        <v>29</v>
      </c>
      <c r="K291" s="1">
        <v>42617</v>
      </c>
      <c r="L291">
        <v>9</v>
      </c>
      <c r="M291" t="s">
        <v>1037</v>
      </c>
      <c r="N291">
        <v>2016</v>
      </c>
    </row>
    <row r="292" spans="1:14" x14ac:dyDescent="0.3">
      <c r="A292" t="s">
        <v>614</v>
      </c>
      <c r="B292" t="s">
        <v>615</v>
      </c>
      <c r="C292" t="s">
        <v>13</v>
      </c>
      <c r="D292">
        <v>70</v>
      </c>
      <c r="E292" t="s">
        <v>53</v>
      </c>
      <c r="F292" t="s">
        <v>41</v>
      </c>
      <c r="G292" t="s">
        <v>45</v>
      </c>
      <c r="H292">
        <v>26368</v>
      </c>
      <c r="I292" t="s">
        <v>42</v>
      </c>
      <c r="J292" t="s">
        <v>25</v>
      </c>
      <c r="K292" s="1">
        <v>43499</v>
      </c>
      <c r="L292">
        <v>7</v>
      </c>
      <c r="M292" t="s">
        <v>1036</v>
      </c>
      <c r="N292">
        <v>2019</v>
      </c>
    </row>
    <row r="293" spans="1:14" x14ac:dyDescent="0.3">
      <c r="A293" t="s">
        <v>616</v>
      </c>
      <c r="B293" t="s">
        <v>617</v>
      </c>
      <c r="C293" t="s">
        <v>13</v>
      </c>
      <c r="D293">
        <v>40</v>
      </c>
      <c r="E293" t="s">
        <v>14</v>
      </c>
      <c r="F293" t="s">
        <v>23</v>
      </c>
      <c r="G293" t="s">
        <v>28</v>
      </c>
      <c r="H293">
        <v>178496</v>
      </c>
      <c r="I293" t="s">
        <v>17</v>
      </c>
      <c r="J293" t="s">
        <v>25</v>
      </c>
      <c r="K293" s="1">
        <v>44893</v>
      </c>
      <c r="L293">
        <v>3</v>
      </c>
      <c r="M293" t="s">
        <v>1035</v>
      </c>
      <c r="N293">
        <v>2022</v>
      </c>
    </row>
    <row r="294" spans="1:14" x14ac:dyDescent="0.3">
      <c r="A294" t="s">
        <v>618</v>
      </c>
      <c r="B294" t="s">
        <v>619</v>
      </c>
      <c r="C294" t="s">
        <v>13</v>
      </c>
      <c r="D294">
        <v>33</v>
      </c>
      <c r="E294" t="s">
        <v>14</v>
      </c>
      <c r="F294" t="s">
        <v>23</v>
      </c>
      <c r="G294" t="s">
        <v>32</v>
      </c>
      <c r="H294">
        <v>132360</v>
      </c>
      <c r="I294" t="s">
        <v>33</v>
      </c>
      <c r="J294" t="s">
        <v>18</v>
      </c>
      <c r="K294" s="1">
        <v>42674</v>
      </c>
      <c r="L294">
        <v>9</v>
      </c>
      <c r="M294" t="s">
        <v>1037</v>
      </c>
      <c r="N294">
        <v>2016</v>
      </c>
    </row>
    <row r="295" spans="1:14" x14ac:dyDescent="0.3">
      <c r="A295" t="s">
        <v>620</v>
      </c>
      <c r="B295" t="s">
        <v>621</v>
      </c>
      <c r="C295" t="s">
        <v>21</v>
      </c>
      <c r="D295">
        <v>74</v>
      </c>
      <c r="E295" t="s">
        <v>53</v>
      </c>
      <c r="F295" t="s">
        <v>37</v>
      </c>
      <c r="G295" t="s">
        <v>24</v>
      </c>
      <c r="H295">
        <v>196076</v>
      </c>
      <c r="I295" t="s">
        <v>17</v>
      </c>
      <c r="J295" t="s">
        <v>25</v>
      </c>
      <c r="K295" s="1">
        <v>43335</v>
      </c>
      <c r="L295">
        <v>7</v>
      </c>
      <c r="M295" t="s">
        <v>1036</v>
      </c>
      <c r="N295">
        <v>2018</v>
      </c>
    </row>
    <row r="296" spans="1:14" x14ac:dyDescent="0.3">
      <c r="A296" t="s">
        <v>622</v>
      </c>
      <c r="B296" t="s">
        <v>623</v>
      </c>
      <c r="C296" t="s">
        <v>21</v>
      </c>
      <c r="D296">
        <v>56</v>
      </c>
      <c r="E296" t="s">
        <v>22</v>
      </c>
      <c r="F296" t="s">
        <v>41</v>
      </c>
      <c r="G296" t="s">
        <v>38</v>
      </c>
      <c r="H296">
        <v>132755</v>
      </c>
      <c r="I296" t="s">
        <v>33</v>
      </c>
      <c r="J296" t="s">
        <v>18</v>
      </c>
      <c r="K296" s="1">
        <v>42510</v>
      </c>
      <c r="L296">
        <v>9</v>
      </c>
      <c r="M296" t="s">
        <v>1037</v>
      </c>
      <c r="N296">
        <v>2016</v>
      </c>
    </row>
    <row r="297" spans="1:14" x14ac:dyDescent="0.3">
      <c r="A297" t="s">
        <v>624</v>
      </c>
      <c r="B297" t="s">
        <v>625</v>
      </c>
      <c r="C297" t="s">
        <v>21</v>
      </c>
      <c r="D297">
        <v>62</v>
      </c>
      <c r="E297" t="s">
        <v>53</v>
      </c>
      <c r="F297" t="s">
        <v>23</v>
      </c>
      <c r="G297" t="s">
        <v>28</v>
      </c>
      <c r="H297">
        <v>76985</v>
      </c>
      <c r="I297" t="s">
        <v>42</v>
      </c>
      <c r="J297" t="s">
        <v>18</v>
      </c>
      <c r="K297" s="1">
        <v>44646</v>
      </c>
      <c r="L297">
        <v>4</v>
      </c>
      <c r="M297" t="s">
        <v>1036</v>
      </c>
      <c r="N297">
        <v>2022</v>
      </c>
    </row>
    <row r="298" spans="1:14" x14ac:dyDescent="0.3">
      <c r="A298" t="s">
        <v>626</v>
      </c>
      <c r="B298" t="s">
        <v>627</v>
      </c>
      <c r="C298" t="s">
        <v>21</v>
      </c>
      <c r="D298">
        <v>70</v>
      </c>
      <c r="E298" t="s">
        <v>53</v>
      </c>
      <c r="F298" t="s">
        <v>15</v>
      </c>
      <c r="G298" t="s">
        <v>38</v>
      </c>
      <c r="H298">
        <v>70069</v>
      </c>
      <c r="I298" t="s">
        <v>42</v>
      </c>
      <c r="J298" t="s">
        <v>18</v>
      </c>
      <c r="K298" s="1">
        <v>44862</v>
      </c>
      <c r="L298">
        <v>3</v>
      </c>
      <c r="M298" t="s">
        <v>1035</v>
      </c>
      <c r="N298">
        <v>2022</v>
      </c>
    </row>
    <row r="299" spans="1:14" x14ac:dyDescent="0.3">
      <c r="A299" t="s">
        <v>628</v>
      </c>
      <c r="B299" t="s">
        <v>629</v>
      </c>
      <c r="C299" t="s">
        <v>13</v>
      </c>
      <c r="D299">
        <v>59</v>
      </c>
      <c r="E299" t="s">
        <v>22</v>
      </c>
      <c r="F299" t="s">
        <v>37</v>
      </c>
      <c r="G299" t="s">
        <v>28</v>
      </c>
      <c r="H299">
        <v>72326</v>
      </c>
      <c r="I299" t="s">
        <v>42</v>
      </c>
      <c r="J299" t="s">
        <v>25</v>
      </c>
      <c r="K299" s="1">
        <v>42922</v>
      </c>
      <c r="L299">
        <v>8</v>
      </c>
      <c r="M299" t="s">
        <v>1037</v>
      </c>
      <c r="N299">
        <v>2017</v>
      </c>
    </row>
    <row r="300" spans="1:14" x14ac:dyDescent="0.3">
      <c r="A300" t="s">
        <v>630</v>
      </c>
      <c r="B300" t="s">
        <v>631</v>
      </c>
      <c r="C300" t="s">
        <v>13</v>
      </c>
      <c r="D300">
        <v>56</v>
      </c>
      <c r="E300" t="s">
        <v>22</v>
      </c>
      <c r="F300" t="s">
        <v>15</v>
      </c>
      <c r="G300" t="s">
        <v>24</v>
      </c>
      <c r="H300">
        <v>128737</v>
      </c>
      <c r="I300" t="s">
        <v>33</v>
      </c>
      <c r="J300" t="s">
        <v>18</v>
      </c>
      <c r="K300" s="1">
        <v>45200</v>
      </c>
      <c r="L300">
        <v>2</v>
      </c>
      <c r="M300" t="s">
        <v>1035</v>
      </c>
      <c r="N300">
        <v>2023</v>
      </c>
    </row>
    <row r="301" spans="1:14" x14ac:dyDescent="0.3">
      <c r="A301" t="s">
        <v>632</v>
      </c>
      <c r="B301" t="s">
        <v>633</v>
      </c>
      <c r="C301" t="s">
        <v>21</v>
      </c>
      <c r="D301">
        <v>31</v>
      </c>
      <c r="E301" t="s">
        <v>14</v>
      </c>
      <c r="F301" t="s">
        <v>41</v>
      </c>
      <c r="G301" t="s">
        <v>38</v>
      </c>
      <c r="H301">
        <v>174470</v>
      </c>
      <c r="I301" t="s">
        <v>17</v>
      </c>
      <c r="J301" t="s">
        <v>18</v>
      </c>
      <c r="K301" s="1">
        <v>45402</v>
      </c>
      <c r="L301">
        <v>1</v>
      </c>
      <c r="M301" t="s">
        <v>1038</v>
      </c>
      <c r="N301">
        <v>2024</v>
      </c>
    </row>
    <row r="302" spans="1:14" x14ac:dyDescent="0.3">
      <c r="A302" t="s">
        <v>634</v>
      </c>
      <c r="B302" t="s">
        <v>635</v>
      </c>
      <c r="C302" t="s">
        <v>13</v>
      </c>
      <c r="D302">
        <v>48</v>
      </c>
      <c r="E302" t="s">
        <v>22</v>
      </c>
      <c r="F302" t="s">
        <v>41</v>
      </c>
      <c r="G302" t="s">
        <v>16</v>
      </c>
      <c r="H302">
        <v>70861</v>
      </c>
      <c r="I302" t="s">
        <v>42</v>
      </c>
      <c r="J302" t="s">
        <v>18</v>
      </c>
      <c r="K302" s="1">
        <v>45334</v>
      </c>
      <c r="L302">
        <v>2</v>
      </c>
      <c r="M302" t="s">
        <v>1035</v>
      </c>
      <c r="N302">
        <v>2024</v>
      </c>
    </row>
    <row r="303" spans="1:14" x14ac:dyDescent="0.3">
      <c r="A303" t="s">
        <v>636</v>
      </c>
      <c r="B303" t="s">
        <v>637</v>
      </c>
      <c r="C303" t="s">
        <v>13</v>
      </c>
      <c r="D303">
        <v>22</v>
      </c>
      <c r="E303" t="s">
        <v>36</v>
      </c>
      <c r="F303" t="s">
        <v>41</v>
      </c>
      <c r="G303" t="s">
        <v>45</v>
      </c>
      <c r="H303">
        <v>95897</v>
      </c>
      <c r="I303" t="s">
        <v>42</v>
      </c>
      <c r="J303" t="s">
        <v>18</v>
      </c>
      <c r="K303" s="1">
        <v>44473</v>
      </c>
      <c r="L303">
        <v>4</v>
      </c>
      <c r="M303" t="s">
        <v>1036</v>
      </c>
      <c r="N303">
        <v>2021</v>
      </c>
    </row>
    <row r="304" spans="1:14" x14ac:dyDescent="0.3">
      <c r="A304" t="s">
        <v>638</v>
      </c>
      <c r="B304" t="s">
        <v>639</v>
      </c>
      <c r="C304" t="s">
        <v>13</v>
      </c>
      <c r="D304">
        <v>52</v>
      </c>
      <c r="E304" t="s">
        <v>22</v>
      </c>
      <c r="F304" t="s">
        <v>37</v>
      </c>
      <c r="G304" t="s">
        <v>16</v>
      </c>
      <c r="H304">
        <v>147118</v>
      </c>
      <c r="I304" t="s">
        <v>33</v>
      </c>
      <c r="J304" t="s">
        <v>25</v>
      </c>
      <c r="K304" s="1">
        <v>44957</v>
      </c>
      <c r="L304">
        <v>3</v>
      </c>
      <c r="M304" t="s">
        <v>1035</v>
      </c>
      <c r="N304">
        <v>2023</v>
      </c>
    </row>
    <row r="305" spans="1:14" x14ac:dyDescent="0.3">
      <c r="A305" t="s">
        <v>640</v>
      </c>
      <c r="B305" t="s">
        <v>641</v>
      </c>
      <c r="C305" t="s">
        <v>21</v>
      </c>
      <c r="D305">
        <v>40</v>
      </c>
      <c r="E305" t="s">
        <v>14</v>
      </c>
      <c r="F305" t="s">
        <v>23</v>
      </c>
      <c r="G305" t="s">
        <v>32</v>
      </c>
      <c r="H305">
        <v>88577</v>
      </c>
      <c r="I305" t="s">
        <v>42</v>
      </c>
      <c r="J305" t="s">
        <v>25</v>
      </c>
      <c r="K305" s="1">
        <v>43251</v>
      </c>
      <c r="L305">
        <v>7</v>
      </c>
      <c r="M305" t="s">
        <v>1036</v>
      </c>
      <c r="N305">
        <v>2018</v>
      </c>
    </row>
    <row r="306" spans="1:14" x14ac:dyDescent="0.3">
      <c r="A306" t="s">
        <v>642</v>
      </c>
      <c r="B306" t="s">
        <v>643</v>
      </c>
      <c r="C306" t="s">
        <v>21</v>
      </c>
      <c r="D306">
        <v>46</v>
      </c>
      <c r="E306" t="s">
        <v>22</v>
      </c>
      <c r="F306" t="s">
        <v>37</v>
      </c>
      <c r="G306" t="s">
        <v>24</v>
      </c>
      <c r="H306">
        <v>29078</v>
      </c>
      <c r="I306" t="s">
        <v>42</v>
      </c>
      <c r="J306" t="s">
        <v>25</v>
      </c>
      <c r="K306" s="1">
        <v>43041</v>
      </c>
      <c r="L306">
        <v>8</v>
      </c>
      <c r="M306" t="s">
        <v>1037</v>
      </c>
      <c r="N306">
        <v>2017</v>
      </c>
    </row>
    <row r="307" spans="1:14" x14ac:dyDescent="0.3">
      <c r="A307" t="s">
        <v>644</v>
      </c>
      <c r="B307" t="s">
        <v>645</v>
      </c>
      <c r="C307" t="s">
        <v>13</v>
      </c>
      <c r="D307">
        <v>60</v>
      </c>
      <c r="E307" t="s">
        <v>22</v>
      </c>
      <c r="F307" t="s">
        <v>15</v>
      </c>
      <c r="G307" t="s">
        <v>16</v>
      </c>
      <c r="H307">
        <v>176075</v>
      </c>
      <c r="I307" t="s">
        <v>17</v>
      </c>
      <c r="J307" t="s">
        <v>18</v>
      </c>
      <c r="K307" s="1">
        <v>43261</v>
      </c>
      <c r="L307">
        <v>7</v>
      </c>
      <c r="M307" t="s">
        <v>1036</v>
      </c>
      <c r="N307">
        <v>2018</v>
      </c>
    </row>
    <row r="308" spans="1:14" x14ac:dyDescent="0.3">
      <c r="A308" t="s">
        <v>646</v>
      </c>
      <c r="B308" t="s">
        <v>647</v>
      </c>
      <c r="C308" t="s">
        <v>21</v>
      </c>
      <c r="D308">
        <v>28</v>
      </c>
      <c r="E308" t="s">
        <v>36</v>
      </c>
      <c r="F308" t="s">
        <v>37</v>
      </c>
      <c r="G308" t="s">
        <v>28</v>
      </c>
      <c r="H308">
        <v>82768</v>
      </c>
      <c r="I308" t="s">
        <v>42</v>
      </c>
      <c r="J308" t="s">
        <v>18</v>
      </c>
      <c r="K308" s="1">
        <v>42293</v>
      </c>
      <c r="L308">
        <v>10</v>
      </c>
      <c r="M308" t="s">
        <v>1037</v>
      </c>
      <c r="N308">
        <v>2015</v>
      </c>
    </row>
    <row r="309" spans="1:14" x14ac:dyDescent="0.3">
      <c r="A309" t="s">
        <v>648</v>
      </c>
      <c r="B309" t="s">
        <v>649</v>
      </c>
      <c r="C309" t="s">
        <v>21</v>
      </c>
      <c r="D309">
        <v>35</v>
      </c>
      <c r="E309" t="s">
        <v>14</v>
      </c>
      <c r="F309" t="s">
        <v>15</v>
      </c>
      <c r="G309" t="s">
        <v>32</v>
      </c>
      <c r="H309">
        <v>71047</v>
      </c>
      <c r="I309" t="s">
        <v>42</v>
      </c>
      <c r="J309" t="s">
        <v>18</v>
      </c>
      <c r="K309" s="1">
        <v>42239</v>
      </c>
      <c r="L309">
        <v>10</v>
      </c>
      <c r="M309" t="s">
        <v>1037</v>
      </c>
      <c r="N309">
        <v>2015</v>
      </c>
    </row>
    <row r="310" spans="1:14" x14ac:dyDescent="0.3">
      <c r="A310" t="s">
        <v>650</v>
      </c>
      <c r="B310" t="s">
        <v>651</v>
      </c>
      <c r="C310" t="s">
        <v>21</v>
      </c>
      <c r="D310">
        <v>64</v>
      </c>
      <c r="E310" t="s">
        <v>53</v>
      </c>
      <c r="F310" t="s">
        <v>37</v>
      </c>
      <c r="G310" t="s">
        <v>32</v>
      </c>
      <c r="H310">
        <v>91626</v>
      </c>
      <c r="I310" t="s">
        <v>42</v>
      </c>
      <c r="J310" t="s">
        <v>18</v>
      </c>
      <c r="K310" s="1">
        <v>42506</v>
      </c>
      <c r="L310">
        <v>9</v>
      </c>
      <c r="M310" t="s">
        <v>1037</v>
      </c>
      <c r="N310">
        <v>2016</v>
      </c>
    </row>
    <row r="311" spans="1:14" x14ac:dyDescent="0.3">
      <c r="A311" t="s">
        <v>652</v>
      </c>
      <c r="B311" t="s">
        <v>653</v>
      </c>
      <c r="C311" t="s">
        <v>21</v>
      </c>
      <c r="D311">
        <v>29</v>
      </c>
      <c r="E311" t="s">
        <v>14</v>
      </c>
      <c r="F311" t="s">
        <v>23</v>
      </c>
      <c r="G311" t="s">
        <v>16</v>
      </c>
      <c r="H311">
        <v>77660</v>
      </c>
      <c r="I311" t="s">
        <v>42</v>
      </c>
      <c r="J311" t="s">
        <v>18</v>
      </c>
      <c r="K311" s="1">
        <v>42720</v>
      </c>
      <c r="L311">
        <v>9</v>
      </c>
      <c r="M311" t="s">
        <v>1037</v>
      </c>
      <c r="N311">
        <v>2016</v>
      </c>
    </row>
    <row r="312" spans="1:14" x14ac:dyDescent="0.3">
      <c r="A312" t="s">
        <v>654</v>
      </c>
      <c r="B312" t="s">
        <v>655</v>
      </c>
      <c r="C312" t="s">
        <v>21</v>
      </c>
      <c r="D312">
        <v>26</v>
      </c>
      <c r="E312" t="s">
        <v>36</v>
      </c>
      <c r="F312" t="s">
        <v>15</v>
      </c>
      <c r="G312" t="s">
        <v>16</v>
      </c>
      <c r="H312">
        <v>152997</v>
      </c>
      <c r="I312" t="s">
        <v>17</v>
      </c>
      <c r="J312" t="s">
        <v>25</v>
      </c>
      <c r="K312" s="1">
        <v>42861</v>
      </c>
      <c r="L312">
        <v>8</v>
      </c>
      <c r="M312" t="s">
        <v>1037</v>
      </c>
      <c r="N312">
        <v>2017</v>
      </c>
    </row>
    <row r="313" spans="1:14" x14ac:dyDescent="0.3">
      <c r="A313" t="s">
        <v>656</v>
      </c>
      <c r="B313" t="s">
        <v>657</v>
      </c>
      <c r="C313" t="s">
        <v>13</v>
      </c>
      <c r="D313">
        <v>27</v>
      </c>
      <c r="E313" t="s">
        <v>36</v>
      </c>
      <c r="F313" t="s">
        <v>41</v>
      </c>
      <c r="G313" t="s">
        <v>24</v>
      </c>
      <c r="H313">
        <v>137832</v>
      </c>
      <c r="I313" t="s">
        <v>33</v>
      </c>
      <c r="J313" t="s">
        <v>18</v>
      </c>
      <c r="K313" s="1">
        <v>43767</v>
      </c>
      <c r="L313">
        <v>6</v>
      </c>
      <c r="M313" t="s">
        <v>1036</v>
      </c>
      <c r="N313">
        <v>2019</v>
      </c>
    </row>
    <row r="314" spans="1:14" x14ac:dyDescent="0.3">
      <c r="A314" t="s">
        <v>658</v>
      </c>
      <c r="B314" t="s">
        <v>659</v>
      </c>
      <c r="C314" t="s">
        <v>21</v>
      </c>
      <c r="D314">
        <v>61</v>
      </c>
      <c r="E314" t="s">
        <v>53</v>
      </c>
      <c r="F314" t="s">
        <v>41</v>
      </c>
      <c r="G314" t="s">
        <v>45</v>
      </c>
      <c r="H314">
        <v>150406</v>
      </c>
      <c r="I314" t="s">
        <v>17</v>
      </c>
      <c r="J314" t="s">
        <v>18</v>
      </c>
      <c r="K314" s="1">
        <v>43566</v>
      </c>
      <c r="L314">
        <v>7</v>
      </c>
      <c r="M314" t="s">
        <v>1036</v>
      </c>
      <c r="N314">
        <v>2019</v>
      </c>
    </row>
    <row r="315" spans="1:14" x14ac:dyDescent="0.3">
      <c r="A315" t="s">
        <v>660</v>
      </c>
      <c r="B315" t="s">
        <v>661</v>
      </c>
      <c r="C315" t="s">
        <v>13</v>
      </c>
      <c r="D315">
        <v>34</v>
      </c>
      <c r="E315" t="s">
        <v>14</v>
      </c>
      <c r="F315" t="s">
        <v>37</v>
      </c>
      <c r="G315" t="s">
        <v>16</v>
      </c>
      <c r="H315">
        <v>145150</v>
      </c>
      <c r="I315" t="s">
        <v>33</v>
      </c>
      <c r="J315" t="s">
        <v>18</v>
      </c>
      <c r="K315" s="1">
        <v>44714</v>
      </c>
      <c r="L315">
        <v>3</v>
      </c>
      <c r="M315" t="s">
        <v>1035</v>
      </c>
      <c r="N315">
        <v>2022</v>
      </c>
    </row>
    <row r="316" spans="1:14" x14ac:dyDescent="0.3">
      <c r="A316" t="s">
        <v>662</v>
      </c>
      <c r="B316" t="s">
        <v>663</v>
      </c>
      <c r="C316" t="s">
        <v>13</v>
      </c>
      <c r="D316">
        <v>55</v>
      </c>
      <c r="E316" t="s">
        <v>22</v>
      </c>
      <c r="F316" t="s">
        <v>41</v>
      </c>
      <c r="G316" t="s">
        <v>50</v>
      </c>
      <c r="H316">
        <v>177087</v>
      </c>
      <c r="I316" t="s">
        <v>17</v>
      </c>
      <c r="J316" t="s">
        <v>18</v>
      </c>
      <c r="K316" s="1">
        <v>45794</v>
      </c>
      <c r="L316">
        <v>0</v>
      </c>
      <c r="M316" t="s">
        <v>1038</v>
      </c>
      <c r="N316">
        <v>2025</v>
      </c>
    </row>
    <row r="317" spans="1:14" x14ac:dyDescent="0.3">
      <c r="A317" t="s">
        <v>664</v>
      </c>
      <c r="B317" t="s">
        <v>665</v>
      </c>
      <c r="C317" t="s">
        <v>21</v>
      </c>
      <c r="D317">
        <v>24</v>
      </c>
      <c r="E317" t="s">
        <v>36</v>
      </c>
      <c r="F317" t="s">
        <v>15</v>
      </c>
      <c r="G317" t="s">
        <v>16</v>
      </c>
      <c r="H317">
        <v>53320</v>
      </c>
      <c r="I317" t="s">
        <v>42</v>
      </c>
      <c r="J317" t="s">
        <v>18</v>
      </c>
      <c r="K317" s="1">
        <v>45058</v>
      </c>
      <c r="L317">
        <v>2</v>
      </c>
      <c r="M317" t="s">
        <v>1035</v>
      </c>
      <c r="N317">
        <v>2023</v>
      </c>
    </row>
    <row r="318" spans="1:14" x14ac:dyDescent="0.3">
      <c r="A318" t="s">
        <v>666</v>
      </c>
      <c r="B318" t="s">
        <v>667</v>
      </c>
      <c r="C318" t="s">
        <v>13</v>
      </c>
      <c r="D318">
        <v>63</v>
      </c>
      <c r="E318" t="s">
        <v>53</v>
      </c>
      <c r="F318" t="s">
        <v>41</v>
      </c>
      <c r="G318" t="s">
        <v>38</v>
      </c>
      <c r="H318">
        <v>84881</v>
      </c>
      <c r="I318" t="s">
        <v>42</v>
      </c>
      <c r="J318" t="s">
        <v>29</v>
      </c>
      <c r="K318" s="1">
        <v>44650</v>
      </c>
      <c r="L318">
        <v>4</v>
      </c>
      <c r="M318" t="s">
        <v>1036</v>
      </c>
      <c r="N318">
        <v>2022</v>
      </c>
    </row>
    <row r="319" spans="1:14" x14ac:dyDescent="0.3">
      <c r="A319" t="s">
        <v>668</v>
      </c>
      <c r="B319" t="s">
        <v>669</v>
      </c>
      <c r="C319" t="s">
        <v>13</v>
      </c>
      <c r="D319">
        <v>30</v>
      </c>
      <c r="E319" t="s">
        <v>14</v>
      </c>
      <c r="F319" t="s">
        <v>23</v>
      </c>
      <c r="G319" t="s">
        <v>28</v>
      </c>
      <c r="H319">
        <v>110827</v>
      </c>
      <c r="I319" t="s">
        <v>33</v>
      </c>
      <c r="J319" t="s">
        <v>25</v>
      </c>
      <c r="K319" s="1">
        <v>42381</v>
      </c>
      <c r="L319">
        <v>10</v>
      </c>
      <c r="M319" t="s">
        <v>1037</v>
      </c>
      <c r="N319">
        <v>2016</v>
      </c>
    </row>
    <row r="320" spans="1:14" x14ac:dyDescent="0.3">
      <c r="A320" t="s">
        <v>670</v>
      </c>
      <c r="B320" t="s">
        <v>671</v>
      </c>
      <c r="C320" t="s">
        <v>13</v>
      </c>
      <c r="D320">
        <v>57</v>
      </c>
      <c r="E320" t="s">
        <v>22</v>
      </c>
      <c r="F320" t="s">
        <v>23</v>
      </c>
      <c r="G320" t="s">
        <v>50</v>
      </c>
      <c r="H320">
        <v>122215</v>
      </c>
      <c r="I320" t="s">
        <v>33</v>
      </c>
      <c r="J320" t="s">
        <v>29</v>
      </c>
      <c r="K320" s="1">
        <v>43637</v>
      </c>
      <c r="L320">
        <v>6</v>
      </c>
      <c r="M320" t="s">
        <v>1036</v>
      </c>
      <c r="N320">
        <v>2019</v>
      </c>
    </row>
    <row r="321" spans="1:14" x14ac:dyDescent="0.3">
      <c r="A321" t="s">
        <v>672</v>
      </c>
      <c r="B321" t="s">
        <v>673</v>
      </c>
      <c r="C321" t="s">
        <v>21</v>
      </c>
      <c r="D321">
        <v>59</v>
      </c>
      <c r="E321" t="s">
        <v>22</v>
      </c>
      <c r="F321" t="s">
        <v>37</v>
      </c>
      <c r="G321" t="s">
        <v>50</v>
      </c>
      <c r="H321">
        <v>177361</v>
      </c>
      <c r="I321" t="s">
        <v>17</v>
      </c>
      <c r="J321" t="s">
        <v>18</v>
      </c>
      <c r="K321" s="1">
        <v>45185</v>
      </c>
      <c r="L321">
        <v>2</v>
      </c>
      <c r="M321" t="s">
        <v>1035</v>
      </c>
      <c r="N321">
        <v>2023</v>
      </c>
    </row>
    <row r="322" spans="1:14" x14ac:dyDescent="0.3">
      <c r="A322" t="s">
        <v>674</v>
      </c>
      <c r="B322" t="s">
        <v>675</v>
      </c>
      <c r="C322" t="s">
        <v>21</v>
      </c>
      <c r="D322">
        <v>26</v>
      </c>
      <c r="E322" t="s">
        <v>36</v>
      </c>
      <c r="F322" t="s">
        <v>15</v>
      </c>
      <c r="G322" t="s">
        <v>38</v>
      </c>
      <c r="H322">
        <v>154461</v>
      </c>
      <c r="I322" t="s">
        <v>17</v>
      </c>
      <c r="J322" t="s">
        <v>18</v>
      </c>
      <c r="K322" s="1">
        <v>44900</v>
      </c>
      <c r="L322">
        <v>3</v>
      </c>
      <c r="M322" t="s">
        <v>1035</v>
      </c>
      <c r="N322">
        <v>2022</v>
      </c>
    </row>
    <row r="323" spans="1:14" x14ac:dyDescent="0.3">
      <c r="A323" t="s">
        <v>676</v>
      </c>
      <c r="B323" t="s">
        <v>677</v>
      </c>
      <c r="C323" t="s">
        <v>13</v>
      </c>
      <c r="D323">
        <v>67</v>
      </c>
      <c r="E323" t="s">
        <v>53</v>
      </c>
      <c r="F323" t="s">
        <v>23</v>
      </c>
      <c r="G323" t="s">
        <v>38</v>
      </c>
      <c r="H323">
        <v>176755</v>
      </c>
      <c r="I323" t="s">
        <v>17</v>
      </c>
      <c r="J323" t="s">
        <v>18</v>
      </c>
      <c r="K323" s="1">
        <v>43613</v>
      </c>
      <c r="L323">
        <v>6</v>
      </c>
      <c r="M323" t="s">
        <v>1036</v>
      </c>
      <c r="N323">
        <v>2019</v>
      </c>
    </row>
    <row r="324" spans="1:14" x14ac:dyDescent="0.3">
      <c r="A324" t="s">
        <v>678</v>
      </c>
      <c r="B324" t="s">
        <v>679</v>
      </c>
      <c r="C324" t="s">
        <v>21</v>
      </c>
      <c r="D324">
        <v>44</v>
      </c>
      <c r="E324" t="s">
        <v>14</v>
      </c>
      <c r="F324" t="s">
        <v>23</v>
      </c>
      <c r="G324" t="s">
        <v>32</v>
      </c>
      <c r="H324">
        <v>164701</v>
      </c>
      <c r="I324" t="s">
        <v>17</v>
      </c>
      <c r="J324" t="s">
        <v>18</v>
      </c>
      <c r="K324" s="1">
        <v>43365</v>
      </c>
      <c r="L324">
        <v>7</v>
      </c>
      <c r="M324" t="s">
        <v>1036</v>
      </c>
      <c r="N324">
        <v>2018</v>
      </c>
    </row>
    <row r="325" spans="1:14" x14ac:dyDescent="0.3">
      <c r="A325" t="s">
        <v>680</v>
      </c>
      <c r="B325" t="s">
        <v>681</v>
      </c>
      <c r="C325" t="s">
        <v>21</v>
      </c>
      <c r="D325">
        <v>19</v>
      </c>
      <c r="E325" t="s">
        <v>36</v>
      </c>
      <c r="F325" t="s">
        <v>15</v>
      </c>
      <c r="G325" t="s">
        <v>45</v>
      </c>
      <c r="H325">
        <v>81550</v>
      </c>
      <c r="I325" t="s">
        <v>42</v>
      </c>
      <c r="J325" t="s">
        <v>25</v>
      </c>
      <c r="K325" s="1">
        <v>42817</v>
      </c>
      <c r="L325">
        <v>9</v>
      </c>
      <c r="M325" t="s">
        <v>1037</v>
      </c>
      <c r="N325">
        <v>2017</v>
      </c>
    </row>
    <row r="326" spans="1:14" x14ac:dyDescent="0.3">
      <c r="A326" t="s">
        <v>682</v>
      </c>
      <c r="B326" t="s">
        <v>683</v>
      </c>
      <c r="C326" t="s">
        <v>21</v>
      </c>
      <c r="D326">
        <v>22</v>
      </c>
      <c r="E326" t="s">
        <v>36</v>
      </c>
      <c r="F326" t="s">
        <v>41</v>
      </c>
      <c r="G326" t="s">
        <v>28</v>
      </c>
      <c r="H326">
        <v>44826</v>
      </c>
      <c r="I326" t="s">
        <v>42</v>
      </c>
      <c r="J326" t="s">
        <v>18</v>
      </c>
      <c r="K326" s="1">
        <v>44640</v>
      </c>
      <c r="L326">
        <v>4</v>
      </c>
      <c r="M326" t="s">
        <v>1036</v>
      </c>
      <c r="N326">
        <v>2022</v>
      </c>
    </row>
    <row r="327" spans="1:14" x14ac:dyDescent="0.3">
      <c r="A327" t="s">
        <v>684</v>
      </c>
      <c r="B327" t="s">
        <v>685</v>
      </c>
      <c r="C327" t="s">
        <v>21</v>
      </c>
      <c r="D327">
        <v>46</v>
      </c>
      <c r="E327" t="s">
        <v>22</v>
      </c>
      <c r="F327" t="s">
        <v>41</v>
      </c>
      <c r="G327" t="s">
        <v>24</v>
      </c>
      <c r="H327">
        <v>120734</v>
      </c>
      <c r="I327" t="s">
        <v>33</v>
      </c>
      <c r="J327" t="s">
        <v>18</v>
      </c>
      <c r="K327" s="1">
        <v>43847</v>
      </c>
      <c r="L327">
        <v>6</v>
      </c>
      <c r="M327" t="s">
        <v>1036</v>
      </c>
      <c r="N327">
        <v>2020</v>
      </c>
    </row>
    <row r="328" spans="1:14" x14ac:dyDescent="0.3">
      <c r="A328" t="s">
        <v>686</v>
      </c>
      <c r="B328" t="s">
        <v>687</v>
      </c>
      <c r="C328" t="s">
        <v>13</v>
      </c>
      <c r="D328">
        <v>54</v>
      </c>
      <c r="E328" t="s">
        <v>22</v>
      </c>
      <c r="F328" t="s">
        <v>37</v>
      </c>
      <c r="G328" t="s">
        <v>50</v>
      </c>
      <c r="H328">
        <v>177702</v>
      </c>
      <c r="I328" t="s">
        <v>17</v>
      </c>
      <c r="J328" t="s">
        <v>18</v>
      </c>
      <c r="K328" s="1">
        <v>45127</v>
      </c>
      <c r="L328">
        <v>2</v>
      </c>
      <c r="M328" t="s">
        <v>1035</v>
      </c>
      <c r="N328">
        <v>2023</v>
      </c>
    </row>
    <row r="329" spans="1:14" x14ac:dyDescent="0.3">
      <c r="A329" t="s">
        <v>688</v>
      </c>
      <c r="B329" t="s">
        <v>689</v>
      </c>
      <c r="C329" t="s">
        <v>13</v>
      </c>
      <c r="D329">
        <v>55</v>
      </c>
      <c r="E329" t="s">
        <v>22</v>
      </c>
      <c r="F329" t="s">
        <v>41</v>
      </c>
      <c r="G329" t="s">
        <v>24</v>
      </c>
      <c r="H329">
        <v>197235</v>
      </c>
      <c r="I329" t="s">
        <v>17</v>
      </c>
      <c r="J329" t="s">
        <v>18</v>
      </c>
      <c r="K329" s="1">
        <v>44461</v>
      </c>
      <c r="L329">
        <v>4</v>
      </c>
      <c r="M329" t="s">
        <v>1036</v>
      </c>
      <c r="N329">
        <v>2021</v>
      </c>
    </row>
    <row r="330" spans="1:14" x14ac:dyDescent="0.3">
      <c r="A330" t="s">
        <v>690</v>
      </c>
      <c r="B330" t="s">
        <v>691</v>
      </c>
      <c r="C330" t="s">
        <v>21</v>
      </c>
      <c r="D330">
        <v>36</v>
      </c>
      <c r="E330" t="s">
        <v>14</v>
      </c>
      <c r="F330" t="s">
        <v>15</v>
      </c>
      <c r="G330" t="s">
        <v>16</v>
      </c>
      <c r="H330">
        <v>118511</v>
      </c>
      <c r="I330" t="s">
        <v>33</v>
      </c>
      <c r="J330" t="s">
        <v>25</v>
      </c>
      <c r="K330" s="1">
        <v>44791</v>
      </c>
      <c r="L330">
        <v>3</v>
      </c>
      <c r="M330" t="s">
        <v>1035</v>
      </c>
      <c r="N330">
        <v>2022</v>
      </c>
    </row>
    <row r="331" spans="1:14" x14ac:dyDescent="0.3">
      <c r="A331" t="s">
        <v>692</v>
      </c>
      <c r="B331" t="s">
        <v>693</v>
      </c>
      <c r="C331" t="s">
        <v>21</v>
      </c>
      <c r="D331">
        <v>25</v>
      </c>
      <c r="E331" t="s">
        <v>36</v>
      </c>
      <c r="F331" t="s">
        <v>23</v>
      </c>
      <c r="G331" t="s">
        <v>16</v>
      </c>
      <c r="H331">
        <v>31653</v>
      </c>
      <c r="I331" t="s">
        <v>42</v>
      </c>
      <c r="J331" t="s">
        <v>18</v>
      </c>
      <c r="K331" s="1">
        <v>42830</v>
      </c>
      <c r="L331">
        <v>9</v>
      </c>
      <c r="M331" t="s">
        <v>1037</v>
      </c>
      <c r="N331">
        <v>2017</v>
      </c>
    </row>
    <row r="332" spans="1:14" x14ac:dyDescent="0.3">
      <c r="A332" t="s">
        <v>694</v>
      </c>
      <c r="B332" t="s">
        <v>695</v>
      </c>
      <c r="C332" t="s">
        <v>13</v>
      </c>
      <c r="D332">
        <v>65</v>
      </c>
      <c r="E332" t="s">
        <v>53</v>
      </c>
      <c r="F332" t="s">
        <v>41</v>
      </c>
      <c r="G332" t="s">
        <v>24</v>
      </c>
      <c r="H332">
        <v>179033</v>
      </c>
      <c r="I332" t="s">
        <v>17</v>
      </c>
      <c r="J332" t="s">
        <v>18</v>
      </c>
      <c r="K332" s="1">
        <v>43776</v>
      </c>
      <c r="L332">
        <v>6</v>
      </c>
      <c r="M332" t="s">
        <v>1036</v>
      </c>
      <c r="N332">
        <v>2019</v>
      </c>
    </row>
    <row r="333" spans="1:14" x14ac:dyDescent="0.3">
      <c r="A333" t="s">
        <v>696</v>
      </c>
      <c r="B333" t="s">
        <v>697</v>
      </c>
      <c r="C333" t="s">
        <v>13</v>
      </c>
      <c r="D333">
        <v>62</v>
      </c>
      <c r="E333" t="s">
        <v>53</v>
      </c>
      <c r="F333" t="s">
        <v>37</v>
      </c>
      <c r="G333" t="s">
        <v>16</v>
      </c>
      <c r="H333">
        <v>101941</v>
      </c>
      <c r="I333" t="s">
        <v>33</v>
      </c>
      <c r="J333" t="s">
        <v>18</v>
      </c>
      <c r="K333" s="1">
        <v>44448</v>
      </c>
      <c r="L333">
        <v>4</v>
      </c>
      <c r="M333" t="s">
        <v>1036</v>
      </c>
      <c r="N333">
        <v>2021</v>
      </c>
    </row>
    <row r="334" spans="1:14" x14ac:dyDescent="0.3">
      <c r="A334" t="s">
        <v>698</v>
      </c>
      <c r="B334" t="s">
        <v>699</v>
      </c>
      <c r="C334" t="s">
        <v>21</v>
      </c>
      <c r="D334">
        <v>18</v>
      </c>
      <c r="E334" t="s">
        <v>36</v>
      </c>
      <c r="F334" t="s">
        <v>41</v>
      </c>
      <c r="G334" t="s">
        <v>45</v>
      </c>
      <c r="H334">
        <v>53662</v>
      </c>
      <c r="I334" t="s">
        <v>42</v>
      </c>
      <c r="J334" t="s">
        <v>18</v>
      </c>
      <c r="K334" s="1">
        <v>42347</v>
      </c>
      <c r="L334">
        <v>10</v>
      </c>
      <c r="M334" t="s">
        <v>1037</v>
      </c>
      <c r="N334">
        <v>2015</v>
      </c>
    </row>
    <row r="335" spans="1:14" x14ac:dyDescent="0.3">
      <c r="A335" t="s">
        <v>700</v>
      </c>
      <c r="B335" t="s">
        <v>701</v>
      </c>
      <c r="C335" t="s">
        <v>13</v>
      </c>
      <c r="D335">
        <v>39</v>
      </c>
      <c r="E335" t="s">
        <v>14</v>
      </c>
      <c r="F335" t="s">
        <v>15</v>
      </c>
      <c r="G335" t="s">
        <v>38</v>
      </c>
      <c r="H335">
        <v>118818</v>
      </c>
      <c r="I335" t="s">
        <v>33</v>
      </c>
      <c r="J335" t="s">
        <v>25</v>
      </c>
      <c r="K335" s="1">
        <v>43494</v>
      </c>
      <c r="L335">
        <v>7</v>
      </c>
      <c r="M335" t="s">
        <v>1036</v>
      </c>
      <c r="N335">
        <v>2019</v>
      </c>
    </row>
    <row r="336" spans="1:14" x14ac:dyDescent="0.3">
      <c r="A336" t="s">
        <v>702</v>
      </c>
      <c r="B336" t="s">
        <v>703</v>
      </c>
      <c r="C336" t="s">
        <v>21</v>
      </c>
      <c r="D336">
        <v>69</v>
      </c>
      <c r="E336" t="s">
        <v>53</v>
      </c>
      <c r="F336" t="s">
        <v>37</v>
      </c>
      <c r="G336" t="s">
        <v>16</v>
      </c>
      <c r="H336">
        <v>172360</v>
      </c>
      <c r="I336" t="s">
        <v>17</v>
      </c>
      <c r="J336" t="s">
        <v>25</v>
      </c>
      <c r="K336" s="1">
        <v>44573</v>
      </c>
      <c r="L336">
        <v>4</v>
      </c>
      <c r="M336" t="s">
        <v>1036</v>
      </c>
      <c r="N336">
        <v>2022</v>
      </c>
    </row>
    <row r="337" spans="1:14" x14ac:dyDescent="0.3">
      <c r="A337" t="s">
        <v>704</v>
      </c>
      <c r="B337" t="s">
        <v>705</v>
      </c>
      <c r="C337" t="s">
        <v>21</v>
      </c>
      <c r="D337">
        <v>34</v>
      </c>
      <c r="E337" t="s">
        <v>14</v>
      </c>
      <c r="F337" t="s">
        <v>41</v>
      </c>
      <c r="G337" t="s">
        <v>32</v>
      </c>
      <c r="H337">
        <v>115081</v>
      </c>
      <c r="I337" t="s">
        <v>33</v>
      </c>
      <c r="J337" t="s">
        <v>29</v>
      </c>
      <c r="K337" s="1">
        <v>42817</v>
      </c>
      <c r="L337">
        <v>9</v>
      </c>
      <c r="M337" t="s">
        <v>1037</v>
      </c>
      <c r="N337">
        <v>2017</v>
      </c>
    </row>
    <row r="338" spans="1:14" x14ac:dyDescent="0.3">
      <c r="A338" t="s">
        <v>706</v>
      </c>
      <c r="B338" t="s">
        <v>707</v>
      </c>
      <c r="C338" t="s">
        <v>13</v>
      </c>
      <c r="D338">
        <v>24</v>
      </c>
      <c r="E338" t="s">
        <v>36</v>
      </c>
      <c r="F338" t="s">
        <v>37</v>
      </c>
      <c r="G338" t="s">
        <v>16</v>
      </c>
      <c r="H338">
        <v>56877</v>
      </c>
      <c r="I338" t="s">
        <v>42</v>
      </c>
      <c r="J338" t="s">
        <v>25</v>
      </c>
      <c r="K338" s="1">
        <v>45877</v>
      </c>
      <c r="L338">
        <v>0</v>
      </c>
      <c r="M338" t="s">
        <v>1038</v>
      </c>
      <c r="N338">
        <v>2025</v>
      </c>
    </row>
    <row r="339" spans="1:14" x14ac:dyDescent="0.3">
      <c r="A339" t="s">
        <v>708</v>
      </c>
      <c r="B339" t="s">
        <v>709</v>
      </c>
      <c r="C339" t="s">
        <v>13</v>
      </c>
      <c r="D339">
        <v>42</v>
      </c>
      <c r="E339" t="s">
        <v>14</v>
      </c>
      <c r="F339" t="s">
        <v>15</v>
      </c>
      <c r="G339" t="s">
        <v>28</v>
      </c>
      <c r="H339">
        <v>131562</v>
      </c>
      <c r="I339" t="s">
        <v>33</v>
      </c>
      <c r="J339" t="s">
        <v>18</v>
      </c>
      <c r="K339" s="1">
        <v>44868</v>
      </c>
      <c r="L339">
        <v>3</v>
      </c>
      <c r="M339" t="s">
        <v>1035</v>
      </c>
      <c r="N339">
        <v>2022</v>
      </c>
    </row>
    <row r="340" spans="1:14" x14ac:dyDescent="0.3">
      <c r="A340" t="s">
        <v>710</v>
      </c>
      <c r="B340" t="s">
        <v>711</v>
      </c>
      <c r="C340" t="s">
        <v>21</v>
      </c>
      <c r="D340">
        <v>62</v>
      </c>
      <c r="E340" t="s">
        <v>53</v>
      </c>
      <c r="F340" t="s">
        <v>23</v>
      </c>
      <c r="G340" t="s">
        <v>45</v>
      </c>
      <c r="H340">
        <v>166385</v>
      </c>
      <c r="I340" t="s">
        <v>17</v>
      </c>
      <c r="J340" t="s">
        <v>25</v>
      </c>
      <c r="K340" s="1">
        <v>43280</v>
      </c>
      <c r="L340">
        <v>7</v>
      </c>
      <c r="M340" t="s">
        <v>1036</v>
      </c>
      <c r="N340">
        <v>2018</v>
      </c>
    </row>
    <row r="341" spans="1:14" x14ac:dyDescent="0.3">
      <c r="A341" t="s">
        <v>712</v>
      </c>
      <c r="B341" t="s">
        <v>713</v>
      </c>
      <c r="C341" t="s">
        <v>21</v>
      </c>
      <c r="D341">
        <v>21</v>
      </c>
      <c r="E341" t="s">
        <v>36</v>
      </c>
      <c r="F341" t="s">
        <v>15</v>
      </c>
      <c r="G341" t="s">
        <v>28</v>
      </c>
      <c r="H341">
        <v>92715</v>
      </c>
      <c r="I341" t="s">
        <v>42</v>
      </c>
      <c r="J341" t="s">
        <v>18</v>
      </c>
      <c r="K341" s="1">
        <v>42927</v>
      </c>
      <c r="L341">
        <v>8</v>
      </c>
      <c r="M341" t="s">
        <v>1037</v>
      </c>
      <c r="N341">
        <v>2017</v>
      </c>
    </row>
    <row r="342" spans="1:14" x14ac:dyDescent="0.3">
      <c r="A342" t="s">
        <v>714</v>
      </c>
      <c r="B342" t="s">
        <v>715</v>
      </c>
      <c r="C342" t="s">
        <v>13</v>
      </c>
      <c r="D342">
        <v>53</v>
      </c>
      <c r="E342" t="s">
        <v>22</v>
      </c>
      <c r="F342" t="s">
        <v>15</v>
      </c>
      <c r="G342" t="s">
        <v>28</v>
      </c>
      <c r="H342">
        <v>161398</v>
      </c>
      <c r="I342" t="s">
        <v>17</v>
      </c>
      <c r="J342" t="s">
        <v>18</v>
      </c>
      <c r="K342" s="1">
        <v>43009</v>
      </c>
      <c r="L342">
        <v>8</v>
      </c>
      <c r="M342" t="s">
        <v>1037</v>
      </c>
      <c r="N342">
        <v>2017</v>
      </c>
    </row>
    <row r="343" spans="1:14" x14ac:dyDescent="0.3">
      <c r="A343" t="s">
        <v>716</v>
      </c>
      <c r="B343" t="s">
        <v>717</v>
      </c>
      <c r="C343" t="s">
        <v>21</v>
      </c>
      <c r="D343">
        <v>23</v>
      </c>
      <c r="E343" t="s">
        <v>36</v>
      </c>
      <c r="F343" t="s">
        <v>15</v>
      </c>
      <c r="G343" t="s">
        <v>32</v>
      </c>
      <c r="H343">
        <v>130091</v>
      </c>
      <c r="I343" t="s">
        <v>33</v>
      </c>
      <c r="J343" t="s">
        <v>25</v>
      </c>
      <c r="K343" s="1">
        <v>45017</v>
      </c>
      <c r="L343">
        <v>3</v>
      </c>
      <c r="M343" t="s">
        <v>1035</v>
      </c>
      <c r="N343">
        <v>2023</v>
      </c>
    </row>
    <row r="344" spans="1:14" x14ac:dyDescent="0.3">
      <c r="A344" t="s">
        <v>718</v>
      </c>
      <c r="B344" t="s">
        <v>719</v>
      </c>
      <c r="C344" t="s">
        <v>13</v>
      </c>
      <c r="D344">
        <v>48</v>
      </c>
      <c r="E344" t="s">
        <v>22</v>
      </c>
      <c r="F344" t="s">
        <v>15</v>
      </c>
      <c r="G344" t="s">
        <v>45</v>
      </c>
      <c r="H344">
        <v>152632</v>
      </c>
      <c r="I344" t="s">
        <v>17</v>
      </c>
      <c r="J344" t="s">
        <v>18</v>
      </c>
      <c r="K344" s="1">
        <v>43154</v>
      </c>
      <c r="L344">
        <v>8</v>
      </c>
      <c r="M344" t="s">
        <v>1037</v>
      </c>
      <c r="N344">
        <v>2018</v>
      </c>
    </row>
    <row r="345" spans="1:14" x14ac:dyDescent="0.3">
      <c r="A345" t="s">
        <v>720</v>
      </c>
      <c r="B345" t="s">
        <v>721</v>
      </c>
      <c r="C345" t="s">
        <v>21</v>
      </c>
      <c r="D345">
        <v>36</v>
      </c>
      <c r="E345" t="s">
        <v>14</v>
      </c>
      <c r="F345" t="s">
        <v>23</v>
      </c>
      <c r="G345" t="s">
        <v>45</v>
      </c>
      <c r="H345">
        <v>99148</v>
      </c>
      <c r="I345" t="s">
        <v>42</v>
      </c>
      <c r="J345" t="s">
        <v>29</v>
      </c>
      <c r="K345" s="1">
        <v>43052</v>
      </c>
      <c r="L345">
        <v>8</v>
      </c>
      <c r="M345" t="s">
        <v>1037</v>
      </c>
      <c r="N345">
        <v>2017</v>
      </c>
    </row>
    <row r="346" spans="1:14" x14ac:dyDescent="0.3">
      <c r="A346" t="s">
        <v>722</v>
      </c>
      <c r="B346" t="s">
        <v>723</v>
      </c>
      <c r="C346" t="s">
        <v>13</v>
      </c>
      <c r="D346">
        <v>61</v>
      </c>
      <c r="E346" t="s">
        <v>53</v>
      </c>
      <c r="F346" t="s">
        <v>23</v>
      </c>
      <c r="G346" t="s">
        <v>45</v>
      </c>
      <c r="H346">
        <v>103186</v>
      </c>
      <c r="I346" t="s">
        <v>33</v>
      </c>
      <c r="J346" t="s">
        <v>18</v>
      </c>
      <c r="K346" s="1">
        <v>43704</v>
      </c>
      <c r="L346">
        <v>6</v>
      </c>
      <c r="M346" t="s">
        <v>1036</v>
      </c>
      <c r="N346">
        <v>2019</v>
      </c>
    </row>
    <row r="347" spans="1:14" x14ac:dyDescent="0.3">
      <c r="A347" t="s">
        <v>724</v>
      </c>
      <c r="B347" t="s">
        <v>725</v>
      </c>
      <c r="C347" t="s">
        <v>13</v>
      </c>
      <c r="D347">
        <v>71</v>
      </c>
      <c r="E347" t="s">
        <v>53</v>
      </c>
      <c r="F347" t="s">
        <v>37</v>
      </c>
      <c r="G347" t="s">
        <v>45</v>
      </c>
      <c r="H347">
        <v>177817</v>
      </c>
      <c r="I347" t="s">
        <v>17</v>
      </c>
      <c r="J347" t="s">
        <v>25</v>
      </c>
      <c r="K347" s="1">
        <v>44709</v>
      </c>
      <c r="L347">
        <v>3</v>
      </c>
      <c r="M347" t="s">
        <v>1035</v>
      </c>
      <c r="N347">
        <v>2022</v>
      </c>
    </row>
    <row r="348" spans="1:14" x14ac:dyDescent="0.3">
      <c r="A348" t="s">
        <v>726</v>
      </c>
      <c r="B348" t="s">
        <v>727</v>
      </c>
      <c r="C348" t="s">
        <v>13</v>
      </c>
      <c r="D348">
        <v>56</v>
      </c>
      <c r="E348" t="s">
        <v>22</v>
      </c>
      <c r="F348" t="s">
        <v>41</v>
      </c>
      <c r="G348" t="s">
        <v>45</v>
      </c>
      <c r="H348">
        <v>182962</v>
      </c>
      <c r="I348" t="s">
        <v>17</v>
      </c>
      <c r="J348" t="s">
        <v>25</v>
      </c>
      <c r="K348" s="1">
        <v>45560</v>
      </c>
      <c r="L348">
        <v>1</v>
      </c>
      <c r="M348" t="s">
        <v>1038</v>
      </c>
      <c r="N348">
        <v>2024</v>
      </c>
    </row>
    <row r="349" spans="1:14" x14ac:dyDescent="0.3">
      <c r="A349" t="s">
        <v>728</v>
      </c>
      <c r="B349" t="s">
        <v>729</v>
      </c>
      <c r="C349" t="s">
        <v>21</v>
      </c>
      <c r="D349">
        <v>44</v>
      </c>
      <c r="E349" t="s">
        <v>14</v>
      </c>
      <c r="F349" t="s">
        <v>23</v>
      </c>
      <c r="G349" t="s">
        <v>32</v>
      </c>
      <c r="H349">
        <v>171094</v>
      </c>
      <c r="I349" t="s">
        <v>17</v>
      </c>
      <c r="J349" t="s">
        <v>25</v>
      </c>
      <c r="K349" s="1">
        <v>43485</v>
      </c>
      <c r="L349">
        <v>7</v>
      </c>
      <c r="M349" t="s">
        <v>1036</v>
      </c>
      <c r="N349">
        <v>2019</v>
      </c>
    </row>
    <row r="350" spans="1:14" x14ac:dyDescent="0.3">
      <c r="A350" t="s">
        <v>730</v>
      </c>
      <c r="B350" t="s">
        <v>731</v>
      </c>
      <c r="C350" t="s">
        <v>21</v>
      </c>
      <c r="D350">
        <v>27</v>
      </c>
      <c r="E350" t="s">
        <v>36</v>
      </c>
      <c r="F350" t="s">
        <v>23</v>
      </c>
      <c r="G350" t="s">
        <v>16</v>
      </c>
      <c r="H350">
        <v>143629</v>
      </c>
      <c r="I350" t="s">
        <v>33</v>
      </c>
      <c r="J350" t="s">
        <v>25</v>
      </c>
      <c r="K350" s="1">
        <v>45888</v>
      </c>
      <c r="L350">
        <v>0</v>
      </c>
      <c r="M350" t="s">
        <v>1038</v>
      </c>
      <c r="N350">
        <v>2025</v>
      </c>
    </row>
    <row r="351" spans="1:14" x14ac:dyDescent="0.3">
      <c r="A351" t="s">
        <v>732</v>
      </c>
      <c r="B351" t="s">
        <v>733</v>
      </c>
      <c r="C351" t="s">
        <v>13</v>
      </c>
      <c r="D351">
        <v>43</v>
      </c>
      <c r="E351" t="s">
        <v>14</v>
      </c>
      <c r="F351" t="s">
        <v>41</v>
      </c>
      <c r="G351" t="s">
        <v>28</v>
      </c>
      <c r="H351">
        <v>90316</v>
      </c>
      <c r="I351" t="s">
        <v>42</v>
      </c>
      <c r="J351" t="s">
        <v>25</v>
      </c>
      <c r="K351" s="1">
        <v>44926</v>
      </c>
      <c r="L351">
        <v>3</v>
      </c>
      <c r="M351" t="s">
        <v>1035</v>
      </c>
      <c r="N351">
        <v>2022</v>
      </c>
    </row>
    <row r="352" spans="1:14" x14ac:dyDescent="0.3">
      <c r="A352" t="s">
        <v>734</v>
      </c>
      <c r="B352" t="s">
        <v>735</v>
      </c>
      <c r="C352" t="s">
        <v>21</v>
      </c>
      <c r="D352">
        <v>36</v>
      </c>
      <c r="E352" t="s">
        <v>14</v>
      </c>
      <c r="F352" t="s">
        <v>23</v>
      </c>
      <c r="G352" t="s">
        <v>45</v>
      </c>
      <c r="H352">
        <v>48380</v>
      </c>
      <c r="I352" t="s">
        <v>42</v>
      </c>
      <c r="J352" t="s">
        <v>18</v>
      </c>
      <c r="K352" s="1">
        <v>44241</v>
      </c>
      <c r="L352">
        <v>5</v>
      </c>
      <c r="M352" t="s">
        <v>1036</v>
      </c>
      <c r="N352">
        <v>2021</v>
      </c>
    </row>
    <row r="353" spans="1:14" x14ac:dyDescent="0.3">
      <c r="A353" t="s">
        <v>736</v>
      </c>
      <c r="B353" t="s">
        <v>737</v>
      </c>
      <c r="C353" t="s">
        <v>13</v>
      </c>
      <c r="D353">
        <v>56</v>
      </c>
      <c r="E353" t="s">
        <v>22</v>
      </c>
      <c r="F353" t="s">
        <v>15</v>
      </c>
      <c r="G353" t="s">
        <v>50</v>
      </c>
      <c r="H353">
        <v>130198</v>
      </c>
      <c r="I353" t="s">
        <v>33</v>
      </c>
      <c r="J353" t="s">
        <v>18</v>
      </c>
      <c r="K353" s="1">
        <v>43973</v>
      </c>
      <c r="L353">
        <v>5</v>
      </c>
      <c r="M353" t="s">
        <v>1036</v>
      </c>
      <c r="N353">
        <v>2020</v>
      </c>
    </row>
    <row r="354" spans="1:14" x14ac:dyDescent="0.3">
      <c r="A354" t="s">
        <v>738</v>
      </c>
      <c r="B354" t="s">
        <v>739</v>
      </c>
      <c r="C354" t="s">
        <v>13</v>
      </c>
      <c r="D354">
        <v>20</v>
      </c>
      <c r="E354" t="s">
        <v>36</v>
      </c>
      <c r="F354" t="s">
        <v>15</v>
      </c>
      <c r="G354" t="s">
        <v>16</v>
      </c>
      <c r="H354">
        <v>22356</v>
      </c>
      <c r="I354" t="s">
        <v>42</v>
      </c>
      <c r="J354" t="s">
        <v>18</v>
      </c>
      <c r="K354" s="1">
        <v>43727</v>
      </c>
      <c r="L354">
        <v>6</v>
      </c>
      <c r="M354" t="s">
        <v>1036</v>
      </c>
      <c r="N354">
        <v>2019</v>
      </c>
    </row>
    <row r="355" spans="1:14" x14ac:dyDescent="0.3">
      <c r="A355" t="s">
        <v>740</v>
      </c>
      <c r="B355" t="s">
        <v>741</v>
      </c>
      <c r="C355" t="s">
        <v>21</v>
      </c>
      <c r="D355">
        <v>62</v>
      </c>
      <c r="E355" t="s">
        <v>53</v>
      </c>
      <c r="F355" t="s">
        <v>41</v>
      </c>
      <c r="G355" t="s">
        <v>16</v>
      </c>
      <c r="H355">
        <v>90326</v>
      </c>
      <c r="I355" t="s">
        <v>42</v>
      </c>
      <c r="J355" t="s">
        <v>25</v>
      </c>
      <c r="K355" s="1">
        <v>43758</v>
      </c>
      <c r="L355">
        <v>6</v>
      </c>
      <c r="M355" t="s">
        <v>1036</v>
      </c>
      <c r="N355">
        <v>2019</v>
      </c>
    </row>
    <row r="356" spans="1:14" x14ac:dyDescent="0.3">
      <c r="A356" t="s">
        <v>742</v>
      </c>
      <c r="B356" t="s">
        <v>743</v>
      </c>
      <c r="C356" t="s">
        <v>21</v>
      </c>
      <c r="D356">
        <v>30</v>
      </c>
      <c r="E356" t="s">
        <v>14</v>
      </c>
      <c r="F356" t="s">
        <v>37</v>
      </c>
      <c r="G356" t="s">
        <v>28</v>
      </c>
      <c r="H356">
        <v>112447</v>
      </c>
      <c r="I356" t="s">
        <v>33</v>
      </c>
      <c r="J356" t="s">
        <v>18</v>
      </c>
      <c r="K356" s="1">
        <v>43847</v>
      </c>
      <c r="L356">
        <v>6</v>
      </c>
      <c r="M356" t="s">
        <v>1036</v>
      </c>
      <c r="N356">
        <v>2020</v>
      </c>
    </row>
    <row r="357" spans="1:14" x14ac:dyDescent="0.3">
      <c r="A357" t="s">
        <v>744</v>
      </c>
      <c r="B357" t="s">
        <v>745</v>
      </c>
      <c r="C357" t="s">
        <v>13</v>
      </c>
      <c r="D357">
        <v>67</v>
      </c>
      <c r="E357" t="s">
        <v>53</v>
      </c>
      <c r="F357" t="s">
        <v>37</v>
      </c>
      <c r="G357" t="s">
        <v>32</v>
      </c>
      <c r="H357">
        <v>134994</v>
      </c>
      <c r="I357" t="s">
        <v>33</v>
      </c>
      <c r="J357" t="s">
        <v>25</v>
      </c>
      <c r="K357" s="1">
        <v>43374</v>
      </c>
      <c r="L357">
        <v>7</v>
      </c>
      <c r="M357" t="s">
        <v>1036</v>
      </c>
      <c r="N357">
        <v>2018</v>
      </c>
    </row>
    <row r="358" spans="1:14" x14ac:dyDescent="0.3">
      <c r="A358" t="s">
        <v>746</v>
      </c>
      <c r="B358" t="s">
        <v>747</v>
      </c>
      <c r="C358" t="s">
        <v>21</v>
      </c>
      <c r="D358">
        <v>45</v>
      </c>
      <c r="E358" t="s">
        <v>22</v>
      </c>
      <c r="F358" t="s">
        <v>41</v>
      </c>
      <c r="G358" t="s">
        <v>24</v>
      </c>
      <c r="H358">
        <v>40049</v>
      </c>
      <c r="I358" t="s">
        <v>42</v>
      </c>
      <c r="J358" t="s">
        <v>18</v>
      </c>
      <c r="K358" s="1">
        <v>44190</v>
      </c>
      <c r="L358">
        <v>5</v>
      </c>
      <c r="M358" t="s">
        <v>1036</v>
      </c>
      <c r="N358">
        <v>2020</v>
      </c>
    </row>
    <row r="359" spans="1:14" x14ac:dyDescent="0.3">
      <c r="A359" t="s">
        <v>748</v>
      </c>
      <c r="B359" t="s">
        <v>749</v>
      </c>
      <c r="C359" t="s">
        <v>21</v>
      </c>
      <c r="D359">
        <v>37</v>
      </c>
      <c r="E359" t="s">
        <v>14</v>
      </c>
      <c r="F359" t="s">
        <v>41</v>
      </c>
      <c r="G359" t="s">
        <v>24</v>
      </c>
      <c r="H359">
        <v>125361</v>
      </c>
      <c r="I359" t="s">
        <v>33</v>
      </c>
      <c r="J359" t="s">
        <v>18</v>
      </c>
      <c r="K359" s="1">
        <v>44342</v>
      </c>
      <c r="L359">
        <v>4</v>
      </c>
      <c r="M359" t="s">
        <v>1036</v>
      </c>
      <c r="N359">
        <v>2021</v>
      </c>
    </row>
    <row r="360" spans="1:14" x14ac:dyDescent="0.3">
      <c r="A360" t="s">
        <v>750</v>
      </c>
      <c r="B360" t="s">
        <v>751</v>
      </c>
      <c r="C360" t="s">
        <v>13</v>
      </c>
      <c r="D360">
        <v>45</v>
      </c>
      <c r="E360" t="s">
        <v>22</v>
      </c>
      <c r="F360" t="s">
        <v>15</v>
      </c>
      <c r="G360" t="s">
        <v>16</v>
      </c>
      <c r="H360">
        <v>36082</v>
      </c>
      <c r="I360" t="s">
        <v>42</v>
      </c>
      <c r="J360" t="s">
        <v>25</v>
      </c>
      <c r="K360" s="1">
        <v>44954</v>
      </c>
      <c r="L360">
        <v>3</v>
      </c>
      <c r="M360" t="s">
        <v>1035</v>
      </c>
      <c r="N360">
        <v>2023</v>
      </c>
    </row>
    <row r="361" spans="1:14" x14ac:dyDescent="0.3">
      <c r="A361" t="s">
        <v>752</v>
      </c>
      <c r="B361" t="s">
        <v>753</v>
      </c>
      <c r="C361" t="s">
        <v>13</v>
      </c>
      <c r="D361">
        <v>25</v>
      </c>
      <c r="E361" t="s">
        <v>36</v>
      </c>
      <c r="F361" t="s">
        <v>37</v>
      </c>
      <c r="G361" t="s">
        <v>38</v>
      </c>
      <c r="H361">
        <v>20661</v>
      </c>
      <c r="I361" t="s">
        <v>42</v>
      </c>
      <c r="J361" t="s">
        <v>18</v>
      </c>
      <c r="K361" s="1">
        <v>44819</v>
      </c>
      <c r="L361">
        <v>3</v>
      </c>
      <c r="M361" t="s">
        <v>1035</v>
      </c>
      <c r="N361">
        <v>2022</v>
      </c>
    </row>
    <row r="362" spans="1:14" x14ac:dyDescent="0.3">
      <c r="A362" t="s">
        <v>754</v>
      </c>
      <c r="B362" t="s">
        <v>755</v>
      </c>
      <c r="C362" t="s">
        <v>21</v>
      </c>
      <c r="D362">
        <v>58</v>
      </c>
      <c r="E362" t="s">
        <v>22</v>
      </c>
      <c r="F362" t="s">
        <v>23</v>
      </c>
      <c r="G362" t="s">
        <v>38</v>
      </c>
      <c r="H362">
        <v>188484</v>
      </c>
      <c r="I362" t="s">
        <v>17</v>
      </c>
      <c r="J362" t="s">
        <v>18</v>
      </c>
      <c r="K362" s="1">
        <v>45392</v>
      </c>
      <c r="L362">
        <v>2</v>
      </c>
      <c r="M362" t="s">
        <v>1035</v>
      </c>
      <c r="N362">
        <v>2024</v>
      </c>
    </row>
    <row r="363" spans="1:14" x14ac:dyDescent="0.3">
      <c r="A363" t="s">
        <v>756</v>
      </c>
      <c r="B363" t="s">
        <v>757</v>
      </c>
      <c r="C363" t="s">
        <v>13</v>
      </c>
      <c r="D363">
        <v>56</v>
      </c>
      <c r="E363" t="s">
        <v>22</v>
      </c>
      <c r="F363" t="s">
        <v>15</v>
      </c>
      <c r="G363" t="s">
        <v>28</v>
      </c>
      <c r="H363">
        <v>22920</v>
      </c>
      <c r="I363" t="s">
        <v>42</v>
      </c>
      <c r="J363" t="s">
        <v>18</v>
      </c>
      <c r="K363" s="1">
        <v>42295</v>
      </c>
      <c r="L363">
        <v>10</v>
      </c>
      <c r="M363" t="s">
        <v>1037</v>
      </c>
      <c r="N363">
        <v>2015</v>
      </c>
    </row>
    <row r="364" spans="1:14" x14ac:dyDescent="0.3">
      <c r="A364" t="s">
        <v>758</v>
      </c>
      <c r="B364" t="s">
        <v>759</v>
      </c>
      <c r="C364" t="s">
        <v>13</v>
      </c>
      <c r="D364">
        <v>18</v>
      </c>
      <c r="E364" t="s">
        <v>36</v>
      </c>
      <c r="F364" t="s">
        <v>41</v>
      </c>
      <c r="G364" t="s">
        <v>24</v>
      </c>
      <c r="H364">
        <v>99561</v>
      </c>
      <c r="I364" t="s">
        <v>42</v>
      </c>
      <c r="J364" t="s">
        <v>29</v>
      </c>
      <c r="K364" s="1">
        <v>42581</v>
      </c>
      <c r="L364">
        <v>9</v>
      </c>
      <c r="M364" t="s">
        <v>1037</v>
      </c>
      <c r="N364">
        <v>2016</v>
      </c>
    </row>
    <row r="365" spans="1:14" x14ac:dyDescent="0.3">
      <c r="A365" t="s">
        <v>760</v>
      </c>
      <c r="B365" t="s">
        <v>761</v>
      </c>
      <c r="C365" t="s">
        <v>21</v>
      </c>
      <c r="D365">
        <v>20</v>
      </c>
      <c r="E365" t="s">
        <v>36</v>
      </c>
      <c r="F365" t="s">
        <v>37</v>
      </c>
      <c r="G365" t="s">
        <v>16</v>
      </c>
      <c r="H365">
        <v>28946</v>
      </c>
      <c r="I365" t="s">
        <v>42</v>
      </c>
      <c r="J365" t="s">
        <v>25</v>
      </c>
      <c r="K365" s="1">
        <v>42442</v>
      </c>
      <c r="L365">
        <v>10</v>
      </c>
      <c r="M365" t="s">
        <v>1037</v>
      </c>
      <c r="N365">
        <v>2016</v>
      </c>
    </row>
    <row r="366" spans="1:14" x14ac:dyDescent="0.3">
      <c r="A366" t="s">
        <v>762</v>
      </c>
      <c r="B366" t="s">
        <v>763</v>
      </c>
      <c r="C366" t="s">
        <v>13</v>
      </c>
      <c r="D366">
        <v>30</v>
      </c>
      <c r="E366" t="s">
        <v>14</v>
      </c>
      <c r="F366" t="s">
        <v>23</v>
      </c>
      <c r="G366" t="s">
        <v>32</v>
      </c>
      <c r="H366">
        <v>196572</v>
      </c>
      <c r="I366" t="s">
        <v>17</v>
      </c>
      <c r="J366" t="s">
        <v>18</v>
      </c>
      <c r="K366" s="1">
        <v>45607</v>
      </c>
      <c r="L366">
        <v>1</v>
      </c>
      <c r="M366" t="s">
        <v>1038</v>
      </c>
      <c r="N366">
        <v>2024</v>
      </c>
    </row>
    <row r="367" spans="1:14" x14ac:dyDescent="0.3">
      <c r="A367" t="s">
        <v>764</v>
      </c>
      <c r="B367" t="s">
        <v>765</v>
      </c>
      <c r="C367" t="s">
        <v>13</v>
      </c>
      <c r="D367">
        <v>45</v>
      </c>
      <c r="E367" t="s">
        <v>22</v>
      </c>
      <c r="F367" t="s">
        <v>23</v>
      </c>
      <c r="G367" t="s">
        <v>24</v>
      </c>
      <c r="H367">
        <v>36309</v>
      </c>
      <c r="I367" t="s">
        <v>42</v>
      </c>
      <c r="J367" t="s">
        <v>18</v>
      </c>
      <c r="K367" s="1">
        <v>43773</v>
      </c>
      <c r="L367">
        <v>6</v>
      </c>
      <c r="M367" t="s">
        <v>1036</v>
      </c>
      <c r="N367">
        <v>2019</v>
      </c>
    </row>
    <row r="368" spans="1:14" x14ac:dyDescent="0.3">
      <c r="A368" t="s">
        <v>766</v>
      </c>
      <c r="B368" t="s">
        <v>767</v>
      </c>
      <c r="C368" t="s">
        <v>21</v>
      </c>
      <c r="D368">
        <v>74</v>
      </c>
      <c r="E368" t="s">
        <v>53</v>
      </c>
      <c r="F368" t="s">
        <v>15</v>
      </c>
      <c r="G368" t="s">
        <v>16</v>
      </c>
      <c r="H368">
        <v>75230</v>
      </c>
      <c r="I368" t="s">
        <v>42</v>
      </c>
      <c r="J368" t="s">
        <v>18</v>
      </c>
      <c r="K368" s="1">
        <v>43795</v>
      </c>
      <c r="L368">
        <v>6</v>
      </c>
      <c r="M368" t="s">
        <v>1036</v>
      </c>
      <c r="N368">
        <v>2019</v>
      </c>
    </row>
    <row r="369" spans="1:14" x14ac:dyDescent="0.3">
      <c r="A369" t="s">
        <v>768</v>
      </c>
      <c r="B369" t="s">
        <v>769</v>
      </c>
      <c r="C369" t="s">
        <v>21</v>
      </c>
      <c r="D369">
        <v>66</v>
      </c>
      <c r="E369" t="s">
        <v>53</v>
      </c>
      <c r="F369" t="s">
        <v>37</v>
      </c>
      <c r="G369" t="s">
        <v>16</v>
      </c>
      <c r="H369">
        <v>131822</v>
      </c>
      <c r="I369" t="s">
        <v>33</v>
      </c>
      <c r="J369" t="s">
        <v>25</v>
      </c>
      <c r="K369" s="1">
        <v>43811</v>
      </c>
      <c r="L369">
        <v>6</v>
      </c>
      <c r="M369" t="s">
        <v>1036</v>
      </c>
      <c r="N369">
        <v>2019</v>
      </c>
    </row>
    <row r="370" spans="1:14" x14ac:dyDescent="0.3">
      <c r="A370" t="s">
        <v>770</v>
      </c>
      <c r="B370" t="s">
        <v>771</v>
      </c>
      <c r="C370" t="s">
        <v>13</v>
      </c>
      <c r="D370">
        <v>42</v>
      </c>
      <c r="E370" t="s">
        <v>14</v>
      </c>
      <c r="F370" t="s">
        <v>37</v>
      </c>
      <c r="G370" t="s">
        <v>45</v>
      </c>
      <c r="H370">
        <v>181099</v>
      </c>
      <c r="I370" t="s">
        <v>17</v>
      </c>
      <c r="J370" t="s">
        <v>25</v>
      </c>
      <c r="K370" s="1">
        <v>44954</v>
      </c>
      <c r="L370">
        <v>3</v>
      </c>
      <c r="M370" t="s">
        <v>1035</v>
      </c>
      <c r="N370">
        <v>2023</v>
      </c>
    </row>
    <row r="371" spans="1:14" x14ac:dyDescent="0.3">
      <c r="A371" t="s">
        <v>772</v>
      </c>
      <c r="B371" t="s">
        <v>773</v>
      </c>
      <c r="C371" t="s">
        <v>13</v>
      </c>
      <c r="D371">
        <v>73</v>
      </c>
      <c r="E371" t="s">
        <v>53</v>
      </c>
      <c r="F371" t="s">
        <v>41</v>
      </c>
      <c r="G371" t="s">
        <v>32</v>
      </c>
      <c r="H371">
        <v>132340</v>
      </c>
      <c r="I371" t="s">
        <v>33</v>
      </c>
      <c r="J371" t="s">
        <v>18</v>
      </c>
      <c r="K371" s="1">
        <v>42545</v>
      </c>
      <c r="L371">
        <v>9</v>
      </c>
      <c r="M371" t="s">
        <v>1037</v>
      </c>
      <c r="N371">
        <v>2016</v>
      </c>
    </row>
    <row r="372" spans="1:14" x14ac:dyDescent="0.3">
      <c r="A372" t="s">
        <v>774</v>
      </c>
      <c r="B372" t="s">
        <v>775</v>
      </c>
      <c r="C372" t="s">
        <v>21</v>
      </c>
      <c r="D372">
        <v>50</v>
      </c>
      <c r="E372" t="s">
        <v>22</v>
      </c>
      <c r="F372" t="s">
        <v>37</v>
      </c>
      <c r="G372" t="s">
        <v>45</v>
      </c>
      <c r="H372">
        <v>79321</v>
      </c>
      <c r="I372" t="s">
        <v>42</v>
      </c>
      <c r="J372" t="s">
        <v>18</v>
      </c>
      <c r="K372" s="1">
        <v>43047</v>
      </c>
      <c r="L372">
        <v>8</v>
      </c>
      <c r="M372" t="s">
        <v>1037</v>
      </c>
      <c r="N372">
        <v>2017</v>
      </c>
    </row>
    <row r="373" spans="1:14" x14ac:dyDescent="0.3">
      <c r="A373" t="s">
        <v>776</v>
      </c>
      <c r="B373" t="s">
        <v>777</v>
      </c>
      <c r="C373" t="s">
        <v>21</v>
      </c>
      <c r="D373">
        <v>55</v>
      </c>
      <c r="E373" t="s">
        <v>22</v>
      </c>
      <c r="F373" t="s">
        <v>37</v>
      </c>
      <c r="G373" t="s">
        <v>28</v>
      </c>
      <c r="H373">
        <v>152028</v>
      </c>
      <c r="I373" t="s">
        <v>17</v>
      </c>
      <c r="J373" t="s">
        <v>18</v>
      </c>
      <c r="K373" s="1">
        <v>44745</v>
      </c>
      <c r="L373">
        <v>3</v>
      </c>
      <c r="M373" t="s">
        <v>1035</v>
      </c>
      <c r="N373">
        <v>2022</v>
      </c>
    </row>
    <row r="374" spans="1:14" x14ac:dyDescent="0.3">
      <c r="A374" t="s">
        <v>778</v>
      </c>
      <c r="B374" t="s">
        <v>779</v>
      </c>
      <c r="C374" t="s">
        <v>21</v>
      </c>
      <c r="D374">
        <v>70</v>
      </c>
      <c r="E374" t="s">
        <v>53</v>
      </c>
      <c r="F374" t="s">
        <v>15</v>
      </c>
      <c r="G374" t="s">
        <v>45</v>
      </c>
      <c r="H374">
        <v>94131</v>
      </c>
      <c r="I374" t="s">
        <v>42</v>
      </c>
      <c r="J374" t="s">
        <v>25</v>
      </c>
      <c r="K374" s="1">
        <v>45501</v>
      </c>
      <c r="L374">
        <v>1</v>
      </c>
      <c r="M374" t="s">
        <v>1038</v>
      </c>
      <c r="N374">
        <v>2024</v>
      </c>
    </row>
    <row r="375" spans="1:14" x14ac:dyDescent="0.3">
      <c r="A375" t="s">
        <v>780</v>
      </c>
      <c r="B375" t="s">
        <v>781</v>
      </c>
      <c r="C375" t="s">
        <v>21</v>
      </c>
      <c r="D375">
        <v>23</v>
      </c>
      <c r="E375" t="s">
        <v>36</v>
      </c>
      <c r="F375" t="s">
        <v>37</v>
      </c>
      <c r="G375" t="s">
        <v>50</v>
      </c>
      <c r="H375">
        <v>198980</v>
      </c>
      <c r="I375" t="s">
        <v>17</v>
      </c>
      <c r="J375" t="s">
        <v>25</v>
      </c>
      <c r="K375" s="1">
        <v>43750</v>
      </c>
      <c r="L375">
        <v>6</v>
      </c>
      <c r="M375" t="s">
        <v>1036</v>
      </c>
      <c r="N375">
        <v>2019</v>
      </c>
    </row>
    <row r="376" spans="1:14" x14ac:dyDescent="0.3">
      <c r="A376" t="s">
        <v>782</v>
      </c>
      <c r="B376" t="s">
        <v>783</v>
      </c>
      <c r="C376" t="s">
        <v>13</v>
      </c>
      <c r="D376">
        <v>61</v>
      </c>
      <c r="E376" t="s">
        <v>53</v>
      </c>
      <c r="F376" t="s">
        <v>23</v>
      </c>
      <c r="G376" t="s">
        <v>45</v>
      </c>
      <c r="H376">
        <v>45963</v>
      </c>
      <c r="I376" t="s">
        <v>42</v>
      </c>
      <c r="J376" t="s">
        <v>18</v>
      </c>
      <c r="K376" s="1">
        <v>44798</v>
      </c>
      <c r="L376">
        <v>3</v>
      </c>
      <c r="M376" t="s">
        <v>1035</v>
      </c>
      <c r="N376">
        <v>2022</v>
      </c>
    </row>
    <row r="377" spans="1:14" x14ac:dyDescent="0.3">
      <c r="A377" t="s">
        <v>784</v>
      </c>
      <c r="B377" t="s">
        <v>785</v>
      </c>
      <c r="C377" t="s">
        <v>21</v>
      </c>
      <c r="D377">
        <v>62</v>
      </c>
      <c r="E377" t="s">
        <v>53</v>
      </c>
      <c r="F377" t="s">
        <v>15</v>
      </c>
      <c r="G377" t="s">
        <v>50</v>
      </c>
      <c r="H377">
        <v>121757</v>
      </c>
      <c r="I377" t="s">
        <v>33</v>
      </c>
      <c r="J377" t="s">
        <v>18</v>
      </c>
      <c r="K377" s="1">
        <v>42284</v>
      </c>
      <c r="L377">
        <v>10</v>
      </c>
      <c r="M377" t="s">
        <v>1037</v>
      </c>
      <c r="N377">
        <v>2015</v>
      </c>
    </row>
    <row r="378" spans="1:14" x14ac:dyDescent="0.3">
      <c r="A378" t="s">
        <v>786</v>
      </c>
      <c r="B378" t="s">
        <v>787</v>
      </c>
      <c r="C378" t="s">
        <v>21</v>
      </c>
      <c r="D378">
        <v>49</v>
      </c>
      <c r="E378" t="s">
        <v>22</v>
      </c>
      <c r="F378" t="s">
        <v>15</v>
      </c>
      <c r="G378" t="s">
        <v>24</v>
      </c>
      <c r="H378">
        <v>190515</v>
      </c>
      <c r="I378" t="s">
        <v>17</v>
      </c>
      <c r="J378" t="s">
        <v>18</v>
      </c>
      <c r="K378" s="1">
        <v>44918</v>
      </c>
      <c r="L378">
        <v>3</v>
      </c>
      <c r="M378" t="s">
        <v>1035</v>
      </c>
      <c r="N378">
        <v>2022</v>
      </c>
    </row>
    <row r="379" spans="1:14" x14ac:dyDescent="0.3">
      <c r="A379" t="s">
        <v>788</v>
      </c>
      <c r="B379" t="s">
        <v>789</v>
      </c>
      <c r="C379" t="s">
        <v>13</v>
      </c>
      <c r="D379">
        <v>62</v>
      </c>
      <c r="E379" t="s">
        <v>53</v>
      </c>
      <c r="F379" t="s">
        <v>41</v>
      </c>
      <c r="G379" t="s">
        <v>38</v>
      </c>
      <c r="H379">
        <v>119259</v>
      </c>
      <c r="I379" t="s">
        <v>33</v>
      </c>
      <c r="J379" t="s">
        <v>29</v>
      </c>
      <c r="K379" s="1">
        <v>42731</v>
      </c>
      <c r="L379">
        <v>9</v>
      </c>
      <c r="M379" t="s">
        <v>1037</v>
      </c>
      <c r="N379">
        <v>2016</v>
      </c>
    </row>
    <row r="380" spans="1:14" x14ac:dyDescent="0.3">
      <c r="A380" t="s">
        <v>790</v>
      </c>
      <c r="B380" t="s">
        <v>791</v>
      </c>
      <c r="C380" t="s">
        <v>21</v>
      </c>
      <c r="D380">
        <v>64</v>
      </c>
      <c r="E380" t="s">
        <v>53</v>
      </c>
      <c r="F380" t="s">
        <v>37</v>
      </c>
      <c r="G380" t="s">
        <v>16</v>
      </c>
      <c r="H380">
        <v>59063</v>
      </c>
      <c r="I380" t="s">
        <v>42</v>
      </c>
      <c r="J380" t="s">
        <v>18</v>
      </c>
      <c r="K380" s="1">
        <v>44972</v>
      </c>
      <c r="L380">
        <v>3</v>
      </c>
      <c r="M380" t="s">
        <v>1035</v>
      </c>
      <c r="N380">
        <v>2023</v>
      </c>
    </row>
    <row r="381" spans="1:14" x14ac:dyDescent="0.3">
      <c r="A381" t="s">
        <v>792</v>
      </c>
      <c r="B381" t="s">
        <v>793</v>
      </c>
      <c r="C381" t="s">
        <v>13</v>
      </c>
      <c r="D381">
        <v>38</v>
      </c>
      <c r="E381" t="s">
        <v>14</v>
      </c>
      <c r="F381" t="s">
        <v>41</v>
      </c>
      <c r="G381" t="s">
        <v>50</v>
      </c>
      <c r="H381">
        <v>134225</v>
      </c>
      <c r="I381" t="s">
        <v>33</v>
      </c>
      <c r="J381" t="s">
        <v>25</v>
      </c>
      <c r="K381" s="1">
        <v>44538</v>
      </c>
      <c r="L381">
        <v>4</v>
      </c>
      <c r="M381" t="s">
        <v>1036</v>
      </c>
      <c r="N381">
        <v>2021</v>
      </c>
    </row>
    <row r="382" spans="1:14" x14ac:dyDescent="0.3">
      <c r="A382" t="s">
        <v>794</v>
      </c>
      <c r="B382" t="s">
        <v>795</v>
      </c>
      <c r="C382" t="s">
        <v>21</v>
      </c>
      <c r="D382">
        <v>33</v>
      </c>
      <c r="E382" t="s">
        <v>14</v>
      </c>
      <c r="F382" t="s">
        <v>23</v>
      </c>
      <c r="G382" t="s">
        <v>32</v>
      </c>
      <c r="H382">
        <v>136400</v>
      </c>
      <c r="I382" t="s">
        <v>33</v>
      </c>
      <c r="J382" t="s">
        <v>25</v>
      </c>
      <c r="K382" s="1">
        <v>43463</v>
      </c>
      <c r="L382">
        <v>7</v>
      </c>
      <c r="M382" t="s">
        <v>1036</v>
      </c>
      <c r="N382">
        <v>2018</v>
      </c>
    </row>
    <row r="383" spans="1:14" x14ac:dyDescent="0.3">
      <c r="A383" t="s">
        <v>796</v>
      </c>
      <c r="B383" t="s">
        <v>797</v>
      </c>
      <c r="C383" t="s">
        <v>21</v>
      </c>
      <c r="D383">
        <v>71</v>
      </c>
      <c r="E383" t="s">
        <v>53</v>
      </c>
      <c r="F383" t="s">
        <v>15</v>
      </c>
      <c r="G383" t="s">
        <v>45</v>
      </c>
      <c r="H383">
        <v>100818</v>
      </c>
      <c r="I383" t="s">
        <v>33</v>
      </c>
      <c r="J383" t="s">
        <v>18</v>
      </c>
      <c r="K383" s="1">
        <v>43995</v>
      </c>
      <c r="L383">
        <v>5</v>
      </c>
      <c r="M383" t="s">
        <v>1036</v>
      </c>
      <c r="N383">
        <v>2020</v>
      </c>
    </row>
    <row r="384" spans="1:14" x14ac:dyDescent="0.3">
      <c r="A384" t="s">
        <v>798</v>
      </c>
      <c r="B384" t="s">
        <v>799</v>
      </c>
      <c r="C384" t="s">
        <v>21</v>
      </c>
      <c r="D384">
        <v>38</v>
      </c>
      <c r="E384" t="s">
        <v>14</v>
      </c>
      <c r="F384" t="s">
        <v>15</v>
      </c>
      <c r="G384" t="s">
        <v>50</v>
      </c>
      <c r="H384">
        <v>24703</v>
      </c>
      <c r="I384" t="s">
        <v>42</v>
      </c>
      <c r="J384" t="s">
        <v>18</v>
      </c>
      <c r="K384" s="1">
        <v>44896</v>
      </c>
      <c r="L384">
        <v>3</v>
      </c>
      <c r="M384" t="s">
        <v>1035</v>
      </c>
      <c r="N384">
        <v>2022</v>
      </c>
    </row>
    <row r="385" spans="1:14" x14ac:dyDescent="0.3">
      <c r="A385" t="s">
        <v>800</v>
      </c>
      <c r="B385" t="s">
        <v>801</v>
      </c>
      <c r="C385" t="s">
        <v>13</v>
      </c>
      <c r="D385">
        <v>28</v>
      </c>
      <c r="E385" t="s">
        <v>36</v>
      </c>
      <c r="F385" t="s">
        <v>15</v>
      </c>
      <c r="G385" t="s">
        <v>32</v>
      </c>
      <c r="H385">
        <v>92099</v>
      </c>
      <c r="I385" t="s">
        <v>42</v>
      </c>
      <c r="J385" t="s">
        <v>18</v>
      </c>
      <c r="K385" s="1">
        <v>44410</v>
      </c>
      <c r="L385">
        <v>4</v>
      </c>
      <c r="M385" t="s">
        <v>1036</v>
      </c>
      <c r="N385">
        <v>2021</v>
      </c>
    </row>
    <row r="386" spans="1:14" x14ac:dyDescent="0.3">
      <c r="A386" t="s">
        <v>802</v>
      </c>
      <c r="B386" t="s">
        <v>803</v>
      </c>
      <c r="C386" t="s">
        <v>13</v>
      </c>
      <c r="D386">
        <v>54</v>
      </c>
      <c r="E386" t="s">
        <v>22</v>
      </c>
      <c r="F386" t="s">
        <v>23</v>
      </c>
      <c r="G386" t="s">
        <v>38</v>
      </c>
      <c r="H386">
        <v>176921</v>
      </c>
      <c r="I386" t="s">
        <v>17</v>
      </c>
      <c r="J386" t="s">
        <v>25</v>
      </c>
      <c r="K386" s="1">
        <v>44889</v>
      </c>
      <c r="L386">
        <v>3</v>
      </c>
      <c r="M386" t="s">
        <v>1035</v>
      </c>
      <c r="N386">
        <v>2022</v>
      </c>
    </row>
    <row r="387" spans="1:14" x14ac:dyDescent="0.3">
      <c r="A387" t="s">
        <v>804</v>
      </c>
      <c r="B387" t="s">
        <v>805</v>
      </c>
      <c r="C387" t="s">
        <v>21</v>
      </c>
      <c r="D387">
        <v>53</v>
      </c>
      <c r="E387" t="s">
        <v>22</v>
      </c>
      <c r="F387" t="s">
        <v>23</v>
      </c>
      <c r="G387" t="s">
        <v>38</v>
      </c>
      <c r="H387">
        <v>182932</v>
      </c>
      <c r="I387" t="s">
        <v>17</v>
      </c>
      <c r="J387" t="s">
        <v>25</v>
      </c>
      <c r="K387" s="1">
        <v>45157</v>
      </c>
      <c r="L387">
        <v>2</v>
      </c>
      <c r="M387" t="s">
        <v>1035</v>
      </c>
      <c r="N387">
        <v>2023</v>
      </c>
    </row>
    <row r="388" spans="1:14" x14ac:dyDescent="0.3">
      <c r="A388" t="s">
        <v>806</v>
      </c>
      <c r="B388" t="s">
        <v>807</v>
      </c>
      <c r="C388" t="s">
        <v>13</v>
      </c>
      <c r="D388">
        <v>52</v>
      </c>
      <c r="E388" t="s">
        <v>22</v>
      </c>
      <c r="F388" t="s">
        <v>41</v>
      </c>
      <c r="G388" t="s">
        <v>45</v>
      </c>
      <c r="H388">
        <v>51585</v>
      </c>
      <c r="I388" t="s">
        <v>42</v>
      </c>
      <c r="J388" t="s">
        <v>25</v>
      </c>
      <c r="K388" s="1">
        <v>43577</v>
      </c>
      <c r="L388">
        <v>6</v>
      </c>
      <c r="M388" t="s">
        <v>1036</v>
      </c>
      <c r="N388">
        <v>2019</v>
      </c>
    </row>
    <row r="389" spans="1:14" x14ac:dyDescent="0.3">
      <c r="A389" t="s">
        <v>808</v>
      </c>
      <c r="B389" t="s">
        <v>809</v>
      </c>
      <c r="C389" t="s">
        <v>13</v>
      </c>
      <c r="D389">
        <v>36</v>
      </c>
      <c r="E389" t="s">
        <v>14</v>
      </c>
      <c r="F389" t="s">
        <v>41</v>
      </c>
      <c r="G389" t="s">
        <v>28</v>
      </c>
      <c r="H389">
        <v>173087</v>
      </c>
      <c r="I389" t="s">
        <v>17</v>
      </c>
      <c r="J389" t="s">
        <v>18</v>
      </c>
      <c r="K389" s="1">
        <v>43947</v>
      </c>
      <c r="L389">
        <v>5</v>
      </c>
      <c r="M389" t="s">
        <v>1036</v>
      </c>
      <c r="N389">
        <v>2020</v>
      </c>
    </row>
    <row r="390" spans="1:14" x14ac:dyDescent="0.3">
      <c r="A390" t="s">
        <v>810</v>
      </c>
      <c r="B390" t="s">
        <v>811</v>
      </c>
      <c r="C390" t="s">
        <v>13</v>
      </c>
      <c r="D390">
        <v>37</v>
      </c>
      <c r="E390" t="s">
        <v>14</v>
      </c>
      <c r="F390" t="s">
        <v>41</v>
      </c>
      <c r="G390" t="s">
        <v>45</v>
      </c>
      <c r="H390">
        <v>63585</v>
      </c>
      <c r="I390" t="s">
        <v>42</v>
      </c>
      <c r="J390" t="s">
        <v>18</v>
      </c>
      <c r="K390" s="1">
        <v>42757</v>
      </c>
      <c r="L390">
        <v>9</v>
      </c>
      <c r="M390" t="s">
        <v>1037</v>
      </c>
      <c r="N390">
        <v>2017</v>
      </c>
    </row>
    <row r="391" spans="1:14" x14ac:dyDescent="0.3">
      <c r="A391" t="s">
        <v>812</v>
      </c>
      <c r="B391" t="s">
        <v>813</v>
      </c>
      <c r="C391" t="s">
        <v>13</v>
      </c>
      <c r="D391">
        <v>74</v>
      </c>
      <c r="E391" t="s">
        <v>53</v>
      </c>
      <c r="F391" t="s">
        <v>37</v>
      </c>
      <c r="G391" t="s">
        <v>24</v>
      </c>
      <c r="H391">
        <v>46958</v>
      </c>
      <c r="I391" t="s">
        <v>42</v>
      </c>
      <c r="J391" t="s">
        <v>29</v>
      </c>
      <c r="K391" s="1">
        <v>44220</v>
      </c>
      <c r="L391">
        <v>5</v>
      </c>
      <c r="M391" t="s">
        <v>1036</v>
      </c>
      <c r="N391">
        <v>2021</v>
      </c>
    </row>
    <row r="392" spans="1:14" x14ac:dyDescent="0.3">
      <c r="A392" t="s">
        <v>814</v>
      </c>
      <c r="B392" t="s">
        <v>815</v>
      </c>
      <c r="C392" t="s">
        <v>13</v>
      </c>
      <c r="D392">
        <v>35</v>
      </c>
      <c r="E392" t="s">
        <v>14</v>
      </c>
      <c r="F392" t="s">
        <v>15</v>
      </c>
      <c r="G392" t="s">
        <v>50</v>
      </c>
      <c r="H392">
        <v>46017</v>
      </c>
      <c r="I392" t="s">
        <v>42</v>
      </c>
      <c r="J392" t="s">
        <v>25</v>
      </c>
      <c r="K392" s="1">
        <v>42931</v>
      </c>
      <c r="L392">
        <v>8</v>
      </c>
      <c r="M392" t="s">
        <v>1037</v>
      </c>
      <c r="N392">
        <v>2017</v>
      </c>
    </row>
    <row r="393" spans="1:14" x14ac:dyDescent="0.3">
      <c r="A393" t="s">
        <v>816</v>
      </c>
      <c r="B393" t="s">
        <v>817</v>
      </c>
      <c r="C393" t="s">
        <v>13</v>
      </c>
      <c r="D393">
        <v>64</v>
      </c>
      <c r="E393" t="s">
        <v>53</v>
      </c>
      <c r="F393" t="s">
        <v>15</v>
      </c>
      <c r="G393" t="s">
        <v>16</v>
      </c>
      <c r="H393">
        <v>144677</v>
      </c>
      <c r="I393" t="s">
        <v>33</v>
      </c>
      <c r="J393" t="s">
        <v>18</v>
      </c>
      <c r="K393" s="1">
        <v>43422</v>
      </c>
      <c r="L393">
        <v>7</v>
      </c>
      <c r="M393" t="s">
        <v>1036</v>
      </c>
      <c r="N393">
        <v>2018</v>
      </c>
    </row>
    <row r="394" spans="1:14" x14ac:dyDescent="0.3">
      <c r="A394" t="s">
        <v>818</v>
      </c>
      <c r="B394" t="s">
        <v>819</v>
      </c>
      <c r="C394" t="s">
        <v>21</v>
      </c>
      <c r="D394">
        <v>58</v>
      </c>
      <c r="E394" t="s">
        <v>22</v>
      </c>
      <c r="F394" t="s">
        <v>41</v>
      </c>
      <c r="G394" t="s">
        <v>28</v>
      </c>
      <c r="H394">
        <v>196422</v>
      </c>
      <c r="I394" t="s">
        <v>17</v>
      </c>
      <c r="J394" t="s">
        <v>29</v>
      </c>
      <c r="K394" s="1">
        <v>44545</v>
      </c>
      <c r="L394">
        <v>4</v>
      </c>
      <c r="M394" t="s">
        <v>1036</v>
      </c>
      <c r="N394">
        <v>2021</v>
      </c>
    </row>
    <row r="395" spans="1:14" x14ac:dyDescent="0.3">
      <c r="A395" t="s">
        <v>820</v>
      </c>
      <c r="B395" t="s">
        <v>821</v>
      </c>
      <c r="C395" t="s">
        <v>21</v>
      </c>
      <c r="D395">
        <v>66</v>
      </c>
      <c r="E395" t="s">
        <v>53</v>
      </c>
      <c r="F395" t="s">
        <v>15</v>
      </c>
      <c r="G395" t="s">
        <v>45</v>
      </c>
      <c r="H395">
        <v>163273</v>
      </c>
      <c r="I395" t="s">
        <v>17</v>
      </c>
      <c r="J395" t="s">
        <v>25</v>
      </c>
      <c r="K395" s="1">
        <v>42384</v>
      </c>
      <c r="L395">
        <v>10</v>
      </c>
      <c r="M395" t="s">
        <v>1037</v>
      </c>
      <c r="N395">
        <v>2016</v>
      </c>
    </row>
    <row r="396" spans="1:14" x14ac:dyDescent="0.3">
      <c r="A396" t="s">
        <v>822</v>
      </c>
      <c r="B396" t="s">
        <v>823</v>
      </c>
      <c r="C396" t="s">
        <v>13</v>
      </c>
      <c r="D396">
        <v>31</v>
      </c>
      <c r="E396" t="s">
        <v>14</v>
      </c>
      <c r="F396" t="s">
        <v>41</v>
      </c>
      <c r="G396" t="s">
        <v>32</v>
      </c>
      <c r="H396">
        <v>49426</v>
      </c>
      <c r="I396" t="s">
        <v>42</v>
      </c>
      <c r="J396" t="s">
        <v>18</v>
      </c>
      <c r="K396" s="1">
        <v>45372</v>
      </c>
      <c r="L396">
        <v>2</v>
      </c>
      <c r="M396" t="s">
        <v>1035</v>
      </c>
      <c r="N396">
        <v>2024</v>
      </c>
    </row>
    <row r="397" spans="1:14" x14ac:dyDescent="0.3">
      <c r="A397" t="s">
        <v>824</v>
      </c>
      <c r="B397" t="s">
        <v>825</v>
      </c>
      <c r="C397" t="s">
        <v>21</v>
      </c>
      <c r="D397">
        <v>32</v>
      </c>
      <c r="E397" t="s">
        <v>14</v>
      </c>
      <c r="F397" t="s">
        <v>37</v>
      </c>
      <c r="G397" t="s">
        <v>28</v>
      </c>
      <c r="H397">
        <v>37778</v>
      </c>
      <c r="I397" t="s">
        <v>42</v>
      </c>
      <c r="J397" t="s">
        <v>25</v>
      </c>
      <c r="K397" s="1">
        <v>44714</v>
      </c>
      <c r="L397">
        <v>3</v>
      </c>
      <c r="M397" t="s">
        <v>1035</v>
      </c>
      <c r="N397">
        <v>2022</v>
      </c>
    </row>
    <row r="398" spans="1:14" x14ac:dyDescent="0.3">
      <c r="A398" t="s">
        <v>826</v>
      </c>
      <c r="B398" t="s">
        <v>827</v>
      </c>
      <c r="C398" t="s">
        <v>21</v>
      </c>
      <c r="D398">
        <v>48</v>
      </c>
      <c r="E398" t="s">
        <v>22</v>
      </c>
      <c r="F398" t="s">
        <v>37</v>
      </c>
      <c r="G398" t="s">
        <v>50</v>
      </c>
      <c r="H398">
        <v>196313</v>
      </c>
      <c r="I398" t="s">
        <v>17</v>
      </c>
      <c r="J398" t="s">
        <v>25</v>
      </c>
      <c r="K398" s="1">
        <v>44176</v>
      </c>
      <c r="L398">
        <v>5</v>
      </c>
      <c r="M398" t="s">
        <v>1036</v>
      </c>
      <c r="N398">
        <v>2020</v>
      </c>
    </row>
    <row r="399" spans="1:14" x14ac:dyDescent="0.3">
      <c r="A399" t="s">
        <v>828</v>
      </c>
      <c r="B399" t="s">
        <v>829</v>
      </c>
      <c r="C399" t="s">
        <v>21</v>
      </c>
      <c r="D399">
        <v>18</v>
      </c>
      <c r="E399" t="s">
        <v>36</v>
      </c>
      <c r="F399" t="s">
        <v>23</v>
      </c>
      <c r="G399" t="s">
        <v>28</v>
      </c>
      <c r="H399">
        <v>62229</v>
      </c>
      <c r="I399" t="s">
        <v>42</v>
      </c>
      <c r="J399" t="s">
        <v>25</v>
      </c>
      <c r="K399" s="1">
        <v>45160</v>
      </c>
      <c r="L399">
        <v>2</v>
      </c>
      <c r="M399" t="s">
        <v>1035</v>
      </c>
      <c r="N399">
        <v>2023</v>
      </c>
    </row>
    <row r="400" spans="1:14" x14ac:dyDescent="0.3">
      <c r="A400" t="s">
        <v>830</v>
      </c>
      <c r="B400" t="s">
        <v>831</v>
      </c>
      <c r="C400" t="s">
        <v>21</v>
      </c>
      <c r="D400">
        <v>70</v>
      </c>
      <c r="E400" t="s">
        <v>53</v>
      </c>
      <c r="F400" t="s">
        <v>37</v>
      </c>
      <c r="G400" t="s">
        <v>50</v>
      </c>
      <c r="H400">
        <v>106652</v>
      </c>
      <c r="I400" t="s">
        <v>33</v>
      </c>
      <c r="J400" t="s">
        <v>18</v>
      </c>
      <c r="K400" s="1">
        <v>45702</v>
      </c>
      <c r="L400">
        <v>1</v>
      </c>
      <c r="M400" t="s">
        <v>1038</v>
      </c>
      <c r="N400">
        <v>2025</v>
      </c>
    </row>
    <row r="401" spans="1:14" x14ac:dyDescent="0.3">
      <c r="A401" t="s">
        <v>832</v>
      </c>
      <c r="B401" t="s">
        <v>833</v>
      </c>
      <c r="C401" t="s">
        <v>13</v>
      </c>
      <c r="D401">
        <v>71</v>
      </c>
      <c r="E401" t="s">
        <v>53</v>
      </c>
      <c r="F401" t="s">
        <v>41</v>
      </c>
      <c r="G401" t="s">
        <v>45</v>
      </c>
      <c r="H401">
        <v>148267</v>
      </c>
      <c r="I401" t="s">
        <v>33</v>
      </c>
      <c r="J401" t="s">
        <v>18</v>
      </c>
      <c r="K401" s="1">
        <v>42789</v>
      </c>
      <c r="L401">
        <v>9</v>
      </c>
      <c r="M401" t="s">
        <v>1037</v>
      </c>
      <c r="N401">
        <v>2017</v>
      </c>
    </row>
    <row r="402" spans="1:14" x14ac:dyDescent="0.3">
      <c r="A402" t="s">
        <v>834</v>
      </c>
      <c r="B402" t="s">
        <v>835</v>
      </c>
      <c r="C402" t="s">
        <v>21</v>
      </c>
      <c r="D402">
        <v>71</v>
      </c>
      <c r="E402" t="s">
        <v>53</v>
      </c>
      <c r="F402" t="s">
        <v>37</v>
      </c>
      <c r="G402" t="s">
        <v>50</v>
      </c>
      <c r="H402">
        <v>199436</v>
      </c>
      <c r="I402" t="s">
        <v>17</v>
      </c>
      <c r="J402" t="s">
        <v>29</v>
      </c>
      <c r="K402" s="1">
        <v>44100</v>
      </c>
      <c r="L402">
        <v>5</v>
      </c>
      <c r="M402" t="s">
        <v>1036</v>
      </c>
      <c r="N402">
        <v>2020</v>
      </c>
    </row>
    <row r="403" spans="1:14" x14ac:dyDescent="0.3">
      <c r="A403" t="s">
        <v>836</v>
      </c>
      <c r="B403" t="s">
        <v>837</v>
      </c>
      <c r="C403" t="s">
        <v>21</v>
      </c>
      <c r="D403">
        <v>20</v>
      </c>
      <c r="E403" t="s">
        <v>36</v>
      </c>
      <c r="F403" t="s">
        <v>23</v>
      </c>
      <c r="G403" t="s">
        <v>28</v>
      </c>
      <c r="H403">
        <v>146503</v>
      </c>
      <c r="I403" t="s">
        <v>33</v>
      </c>
      <c r="J403" t="s">
        <v>18</v>
      </c>
      <c r="K403" s="1">
        <v>44310</v>
      </c>
      <c r="L403">
        <v>4</v>
      </c>
      <c r="M403" t="s">
        <v>1036</v>
      </c>
      <c r="N403">
        <v>2021</v>
      </c>
    </row>
    <row r="404" spans="1:14" x14ac:dyDescent="0.3">
      <c r="A404" t="s">
        <v>838</v>
      </c>
      <c r="B404" t="s">
        <v>839</v>
      </c>
      <c r="C404" t="s">
        <v>13</v>
      </c>
      <c r="D404">
        <v>33</v>
      </c>
      <c r="E404" t="s">
        <v>14</v>
      </c>
      <c r="F404" t="s">
        <v>15</v>
      </c>
      <c r="G404" t="s">
        <v>32</v>
      </c>
      <c r="H404">
        <v>104878</v>
      </c>
      <c r="I404" t="s">
        <v>33</v>
      </c>
      <c r="J404" t="s">
        <v>18</v>
      </c>
      <c r="K404" s="1">
        <v>43523</v>
      </c>
      <c r="L404">
        <v>7</v>
      </c>
      <c r="M404" t="s">
        <v>1036</v>
      </c>
      <c r="N404">
        <v>2019</v>
      </c>
    </row>
    <row r="405" spans="1:14" x14ac:dyDescent="0.3">
      <c r="A405" t="s">
        <v>840</v>
      </c>
      <c r="B405" t="s">
        <v>841</v>
      </c>
      <c r="C405" t="s">
        <v>13</v>
      </c>
      <c r="D405">
        <v>40</v>
      </c>
      <c r="E405" t="s">
        <v>14</v>
      </c>
      <c r="F405" t="s">
        <v>41</v>
      </c>
      <c r="G405" t="s">
        <v>38</v>
      </c>
      <c r="H405">
        <v>77056</v>
      </c>
      <c r="I405" t="s">
        <v>42</v>
      </c>
      <c r="J405" t="s">
        <v>18</v>
      </c>
      <c r="K405" s="1">
        <v>44268</v>
      </c>
      <c r="L405">
        <v>5</v>
      </c>
      <c r="M405" t="s">
        <v>1036</v>
      </c>
      <c r="N405">
        <v>2021</v>
      </c>
    </row>
    <row r="406" spans="1:14" x14ac:dyDescent="0.3">
      <c r="A406" t="s">
        <v>842</v>
      </c>
      <c r="B406" t="s">
        <v>843</v>
      </c>
      <c r="C406" t="s">
        <v>21</v>
      </c>
      <c r="D406">
        <v>74</v>
      </c>
      <c r="E406" t="s">
        <v>53</v>
      </c>
      <c r="F406" t="s">
        <v>15</v>
      </c>
      <c r="G406" t="s">
        <v>28</v>
      </c>
      <c r="H406">
        <v>178562</v>
      </c>
      <c r="I406" t="s">
        <v>17</v>
      </c>
      <c r="J406" t="s">
        <v>18</v>
      </c>
      <c r="K406" s="1">
        <v>45246</v>
      </c>
      <c r="L406">
        <v>2</v>
      </c>
      <c r="M406" t="s">
        <v>1035</v>
      </c>
      <c r="N406">
        <v>2023</v>
      </c>
    </row>
    <row r="407" spans="1:14" x14ac:dyDescent="0.3">
      <c r="A407" t="s">
        <v>844</v>
      </c>
      <c r="B407" t="s">
        <v>845</v>
      </c>
      <c r="C407" t="s">
        <v>21</v>
      </c>
      <c r="D407">
        <v>28</v>
      </c>
      <c r="E407" t="s">
        <v>36</v>
      </c>
      <c r="F407" t="s">
        <v>23</v>
      </c>
      <c r="G407" t="s">
        <v>50</v>
      </c>
      <c r="H407">
        <v>39975</v>
      </c>
      <c r="I407" t="s">
        <v>42</v>
      </c>
      <c r="J407" t="s">
        <v>25</v>
      </c>
      <c r="K407" s="1">
        <v>44902</v>
      </c>
      <c r="L407">
        <v>3</v>
      </c>
      <c r="M407" t="s">
        <v>1035</v>
      </c>
      <c r="N407">
        <v>2022</v>
      </c>
    </row>
    <row r="408" spans="1:14" x14ac:dyDescent="0.3">
      <c r="A408" t="s">
        <v>846</v>
      </c>
      <c r="B408" t="s">
        <v>847</v>
      </c>
      <c r="C408" t="s">
        <v>21</v>
      </c>
      <c r="D408">
        <v>29</v>
      </c>
      <c r="E408" t="s">
        <v>14</v>
      </c>
      <c r="F408" t="s">
        <v>23</v>
      </c>
      <c r="G408" t="s">
        <v>38</v>
      </c>
      <c r="H408">
        <v>177795</v>
      </c>
      <c r="I408" t="s">
        <v>17</v>
      </c>
      <c r="J408" t="s">
        <v>29</v>
      </c>
      <c r="K408" s="1">
        <v>43097</v>
      </c>
      <c r="L408">
        <v>8</v>
      </c>
      <c r="M408" t="s">
        <v>1037</v>
      </c>
      <c r="N408">
        <v>2017</v>
      </c>
    </row>
    <row r="409" spans="1:14" x14ac:dyDescent="0.3">
      <c r="A409" t="s">
        <v>848</v>
      </c>
      <c r="B409" t="s">
        <v>849</v>
      </c>
      <c r="C409" t="s">
        <v>21</v>
      </c>
      <c r="D409">
        <v>27</v>
      </c>
      <c r="E409" t="s">
        <v>36</v>
      </c>
      <c r="F409" t="s">
        <v>23</v>
      </c>
      <c r="G409" t="s">
        <v>50</v>
      </c>
      <c r="H409">
        <v>174351</v>
      </c>
      <c r="I409" t="s">
        <v>17</v>
      </c>
      <c r="J409" t="s">
        <v>18</v>
      </c>
      <c r="K409" s="1">
        <v>42571</v>
      </c>
      <c r="L409">
        <v>9</v>
      </c>
      <c r="M409" t="s">
        <v>1037</v>
      </c>
      <c r="N409">
        <v>2016</v>
      </c>
    </row>
    <row r="410" spans="1:14" x14ac:dyDescent="0.3">
      <c r="A410" t="s">
        <v>850</v>
      </c>
      <c r="B410" t="s">
        <v>851</v>
      </c>
      <c r="C410" t="s">
        <v>21</v>
      </c>
      <c r="D410">
        <v>49</v>
      </c>
      <c r="E410" t="s">
        <v>22</v>
      </c>
      <c r="F410" t="s">
        <v>15</v>
      </c>
      <c r="G410" t="s">
        <v>32</v>
      </c>
      <c r="H410">
        <v>162633</v>
      </c>
      <c r="I410" t="s">
        <v>17</v>
      </c>
      <c r="J410" t="s">
        <v>18</v>
      </c>
      <c r="K410" s="1">
        <v>43721</v>
      </c>
      <c r="L410">
        <v>6</v>
      </c>
      <c r="M410" t="s">
        <v>1036</v>
      </c>
      <c r="N410">
        <v>2019</v>
      </c>
    </row>
    <row r="411" spans="1:14" x14ac:dyDescent="0.3">
      <c r="A411" t="s">
        <v>852</v>
      </c>
      <c r="B411" t="s">
        <v>853</v>
      </c>
      <c r="C411" t="s">
        <v>21</v>
      </c>
      <c r="D411">
        <v>33</v>
      </c>
      <c r="E411" t="s">
        <v>14</v>
      </c>
      <c r="F411" t="s">
        <v>15</v>
      </c>
      <c r="G411" t="s">
        <v>50</v>
      </c>
      <c r="H411">
        <v>108397</v>
      </c>
      <c r="I411" t="s">
        <v>33</v>
      </c>
      <c r="J411" t="s">
        <v>18</v>
      </c>
      <c r="K411" s="1">
        <v>42587</v>
      </c>
      <c r="L411">
        <v>9</v>
      </c>
      <c r="M411" t="s">
        <v>1037</v>
      </c>
      <c r="N411">
        <v>2016</v>
      </c>
    </row>
    <row r="412" spans="1:14" x14ac:dyDescent="0.3">
      <c r="A412" t="s">
        <v>854</v>
      </c>
      <c r="B412" t="s">
        <v>855</v>
      </c>
      <c r="C412" t="s">
        <v>13</v>
      </c>
      <c r="D412">
        <v>25</v>
      </c>
      <c r="E412" t="s">
        <v>36</v>
      </c>
      <c r="F412" t="s">
        <v>15</v>
      </c>
      <c r="G412" t="s">
        <v>45</v>
      </c>
      <c r="H412">
        <v>53142</v>
      </c>
      <c r="I412" t="s">
        <v>42</v>
      </c>
      <c r="J412" t="s">
        <v>25</v>
      </c>
      <c r="K412" s="1">
        <v>43411</v>
      </c>
      <c r="L412">
        <v>7</v>
      </c>
      <c r="M412" t="s">
        <v>1036</v>
      </c>
      <c r="N412">
        <v>2018</v>
      </c>
    </row>
    <row r="413" spans="1:14" x14ac:dyDescent="0.3">
      <c r="A413" t="s">
        <v>856</v>
      </c>
      <c r="B413" t="s">
        <v>857</v>
      </c>
      <c r="C413" t="s">
        <v>21</v>
      </c>
      <c r="D413">
        <v>55</v>
      </c>
      <c r="E413" t="s">
        <v>22</v>
      </c>
      <c r="F413" t="s">
        <v>15</v>
      </c>
      <c r="G413" t="s">
        <v>16</v>
      </c>
      <c r="H413">
        <v>46916</v>
      </c>
      <c r="I413" t="s">
        <v>42</v>
      </c>
      <c r="J413" t="s">
        <v>25</v>
      </c>
      <c r="K413" s="1">
        <v>45608</v>
      </c>
      <c r="L413">
        <v>1</v>
      </c>
      <c r="M413" t="s">
        <v>1038</v>
      </c>
      <c r="N413">
        <v>2024</v>
      </c>
    </row>
    <row r="414" spans="1:14" x14ac:dyDescent="0.3">
      <c r="A414" t="s">
        <v>858</v>
      </c>
      <c r="B414" t="s">
        <v>859</v>
      </c>
      <c r="C414" t="s">
        <v>21</v>
      </c>
      <c r="D414">
        <v>29</v>
      </c>
      <c r="E414" t="s">
        <v>14</v>
      </c>
      <c r="F414" t="s">
        <v>23</v>
      </c>
      <c r="G414" t="s">
        <v>28</v>
      </c>
      <c r="H414">
        <v>84324</v>
      </c>
      <c r="I414" t="s">
        <v>42</v>
      </c>
      <c r="J414" t="s">
        <v>18</v>
      </c>
      <c r="K414" s="1">
        <v>44965</v>
      </c>
      <c r="L414">
        <v>3</v>
      </c>
      <c r="M414" t="s">
        <v>1035</v>
      </c>
      <c r="N414">
        <v>2023</v>
      </c>
    </row>
    <row r="415" spans="1:14" x14ac:dyDescent="0.3">
      <c r="A415" t="s">
        <v>860</v>
      </c>
      <c r="B415" t="s">
        <v>861</v>
      </c>
      <c r="C415" t="s">
        <v>13</v>
      </c>
      <c r="D415">
        <v>41</v>
      </c>
      <c r="E415" t="s">
        <v>14</v>
      </c>
      <c r="F415" t="s">
        <v>23</v>
      </c>
      <c r="G415" t="s">
        <v>16</v>
      </c>
      <c r="H415">
        <v>196037</v>
      </c>
      <c r="I415" t="s">
        <v>17</v>
      </c>
      <c r="J415" t="s">
        <v>25</v>
      </c>
      <c r="K415" s="1">
        <v>42457</v>
      </c>
      <c r="L415">
        <v>10</v>
      </c>
      <c r="M415" t="s">
        <v>1037</v>
      </c>
      <c r="N415">
        <v>2016</v>
      </c>
    </row>
    <row r="416" spans="1:14" x14ac:dyDescent="0.3">
      <c r="A416" t="s">
        <v>862</v>
      </c>
      <c r="B416" t="s">
        <v>863</v>
      </c>
      <c r="C416" t="s">
        <v>13</v>
      </c>
      <c r="D416">
        <v>45</v>
      </c>
      <c r="E416" t="s">
        <v>22</v>
      </c>
      <c r="F416" t="s">
        <v>41</v>
      </c>
      <c r="G416" t="s">
        <v>50</v>
      </c>
      <c r="H416">
        <v>145932</v>
      </c>
      <c r="I416" t="s">
        <v>33</v>
      </c>
      <c r="J416" t="s">
        <v>25</v>
      </c>
      <c r="K416" s="1">
        <v>45884</v>
      </c>
      <c r="L416">
        <v>0</v>
      </c>
      <c r="M416" t="s">
        <v>1038</v>
      </c>
      <c r="N416">
        <v>2025</v>
      </c>
    </row>
    <row r="417" spans="1:14" x14ac:dyDescent="0.3">
      <c r="A417" t="s">
        <v>864</v>
      </c>
      <c r="B417" t="s">
        <v>865</v>
      </c>
      <c r="C417" t="s">
        <v>13</v>
      </c>
      <c r="D417">
        <v>70</v>
      </c>
      <c r="E417" t="s">
        <v>53</v>
      </c>
      <c r="F417" t="s">
        <v>41</v>
      </c>
      <c r="G417" t="s">
        <v>32</v>
      </c>
      <c r="H417">
        <v>155720</v>
      </c>
      <c r="I417" t="s">
        <v>17</v>
      </c>
      <c r="J417" t="s">
        <v>25</v>
      </c>
      <c r="K417" s="1">
        <v>43022</v>
      </c>
      <c r="L417">
        <v>8</v>
      </c>
      <c r="M417" t="s">
        <v>1037</v>
      </c>
      <c r="N417">
        <v>2017</v>
      </c>
    </row>
    <row r="418" spans="1:14" x14ac:dyDescent="0.3">
      <c r="A418" t="s">
        <v>866</v>
      </c>
      <c r="B418" t="s">
        <v>867</v>
      </c>
      <c r="C418" t="s">
        <v>13</v>
      </c>
      <c r="D418">
        <v>25</v>
      </c>
      <c r="E418" t="s">
        <v>36</v>
      </c>
      <c r="F418" t="s">
        <v>15</v>
      </c>
      <c r="G418" t="s">
        <v>28</v>
      </c>
      <c r="H418">
        <v>186205</v>
      </c>
      <c r="I418" t="s">
        <v>17</v>
      </c>
      <c r="J418" t="s">
        <v>29</v>
      </c>
      <c r="K418" s="1">
        <v>45595</v>
      </c>
      <c r="L418">
        <v>1</v>
      </c>
      <c r="M418" t="s">
        <v>1038</v>
      </c>
      <c r="N418">
        <v>2024</v>
      </c>
    </row>
    <row r="419" spans="1:14" x14ac:dyDescent="0.3">
      <c r="A419" t="s">
        <v>868</v>
      </c>
      <c r="B419" t="s">
        <v>869</v>
      </c>
      <c r="C419" t="s">
        <v>21</v>
      </c>
      <c r="D419">
        <v>45</v>
      </c>
      <c r="E419" t="s">
        <v>22</v>
      </c>
      <c r="F419" t="s">
        <v>37</v>
      </c>
      <c r="G419" t="s">
        <v>50</v>
      </c>
      <c r="H419">
        <v>116059</v>
      </c>
      <c r="I419" t="s">
        <v>33</v>
      </c>
      <c r="J419" t="s">
        <v>18</v>
      </c>
      <c r="K419" s="1">
        <v>43432</v>
      </c>
      <c r="L419">
        <v>7</v>
      </c>
      <c r="M419" t="s">
        <v>1036</v>
      </c>
      <c r="N419">
        <v>2018</v>
      </c>
    </row>
    <row r="420" spans="1:14" x14ac:dyDescent="0.3">
      <c r="A420" t="s">
        <v>870</v>
      </c>
      <c r="B420" t="s">
        <v>871</v>
      </c>
      <c r="C420" t="s">
        <v>21</v>
      </c>
      <c r="D420">
        <v>53</v>
      </c>
      <c r="E420" t="s">
        <v>22</v>
      </c>
      <c r="F420" t="s">
        <v>37</v>
      </c>
      <c r="G420" t="s">
        <v>38</v>
      </c>
      <c r="H420">
        <v>118317</v>
      </c>
      <c r="I420" t="s">
        <v>33</v>
      </c>
      <c r="J420" t="s">
        <v>25</v>
      </c>
      <c r="K420" s="1">
        <v>42802</v>
      </c>
      <c r="L420">
        <v>9</v>
      </c>
      <c r="M420" t="s">
        <v>1037</v>
      </c>
      <c r="N420">
        <v>2017</v>
      </c>
    </row>
    <row r="421" spans="1:14" x14ac:dyDescent="0.3">
      <c r="A421" t="s">
        <v>872</v>
      </c>
      <c r="B421" t="s">
        <v>873</v>
      </c>
      <c r="C421" t="s">
        <v>21</v>
      </c>
      <c r="D421">
        <v>43</v>
      </c>
      <c r="E421" t="s">
        <v>14</v>
      </c>
      <c r="F421" t="s">
        <v>23</v>
      </c>
      <c r="G421" t="s">
        <v>24</v>
      </c>
      <c r="H421">
        <v>55046</v>
      </c>
      <c r="I421" t="s">
        <v>42</v>
      </c>
      <c r="J421" t="s">
        <v>18</v>
      </c>
      <c r="K421" s="1">
        <v>44313</v>
      </c>
      <c r="L421">
        <v>4</v>
      </c>
      <c r="M421" t="s">
        <v>1036</v>
      </c>
      <c r="N421">
        <v>2021</v>
      </c>
    </row>
    <row r="422" spans="1:14" x14ac:dyDescent="0.3">
      <c r="A422" t="s">
        <v>874</v>
      </c>
      <c r="B422" t="s">
        <v>875</v>
      </c>
      <c r="C422" t="s">
        <v>21</v>
      </c>
      <c r="D422">
        <v>25</v>
      </c>
      <c r="E422" t="s">
        <v>36</v>
      </c>
      <c r="F422" t="s">
        <v>23</v>
      </c>
      <c r="G422" t="s">
        <v>50</v>
      </c>
      <c r="H422">
        <v>198136</v>
      </c>
      <c r="I422" t="s">
        <v>17</v>
      </c>
      <c r="J422" t="s">
        <v>25</v>
      </c>
      <c r="K422" s="1">
        <v>42565</v>
      </c>
      <c r="L422">
        <v>9</v>
      </c>
      <c r="M422" t="s">
        <v>1037</v>
      </c>
      <c r="N422">
        <v>2016</v>
      </c>
    </row>
    <row r="423" spans="1:14" x14ac:dyDescent="0.3">
      <c r="A423" t="s">
        <v>876</v>
      </c>
      <c r="B423" t="s">
        <v>877</v>
      </c>
      <c r="C423" t="s">
        <v>21</v>
      </c>
      <c r="D423">
        <v>67</v>
      </c>
      <c r="E423" t="s">
        <v>53</v>
      </c>
      <c r="F423" t="s">
        <v>23</v>
      </c>
      <c r="G423" t="s">
        <v>16</v>
      </c>
      <c r="H423">
        <v>121459</v>
      </c>
      <c r="I423" t="s">
        <v>33</v>
      </c>
      <c r="J423" t="s">
        <v>25</v>
      </c>
      <c r="K423" s="1">
        <v>44523</v>
      </c>
      <c r="L423">
        <v>4</v>
      </c>
      <c r="M423" t="s">
        <v>1036</v>
      </c>
      <c r="N423">
        <v>2021</v>
      </c>
    </row>
    <row r="424" spans="1:14" x14ac:dyDescent="0.3">
      <c r="A424" t="s">
        <v>878</v>
      </c>
      <c r="B424" t="s">
        <v>879</v>
      </c>
      <c r="C424" t="s">
        <v>21</v>
      </c>
      <c r="D424">
        <v>45</v>
      </c>
      <c r="E424" t="s">
        <v>22</v>
      </c>
      <c r="F424" t="s">
        <v>41</v>
      </c>
      <c r="G424" t="s">
        <v>28</v>
      </c>
      <c r="H424">
        <v>65893</v>
      </c>
      <c r="I424" t="s">
        <v>42</v>
      </c>
      <c r="J424" t="s">
        <v>25</v>
      </c>
      <c r="K424" s="1">
        <v>44513</v>
      </c>
      <c r="L424">
        <v>4</v>
      </c>
      <c r="M424" t="s">
        <v>1036</v>
      </c>
      <c r="N424">
        <v>2021</v>
      </c>
    </row>
    <row r="425" spans="1:14" x14ac:dyDescent="0.3">
      <c r="A425" t="s">
        <v>880</v>
      </c>
      <c r="B425" t="s">
        <v>879</v>
      </c>
      <c r="C425" t="s">
        <v>13</v>
      </c>
      <c r="D425">
        <v>45</v>
      </c>
      <c r="E425" t="s">
        <v>22</v>
      </c>
      <c r="F425" t="s">
        <v>41</v>
      </c>
      <c r="G425" t="s">
        <v>16</v>
      </c>
      <c r="H425">
        <v>121520</v>
      </c>
      <c r="I425" t="s">
        <v>33</v>
      </c>
      <c r="J425" t="s">
        <v>25</v>
      </c>
      <c r="K425" s="1">
        <v>44111</v>
      </c>
      <c r="L425">
        <v>5</v>
      </c>
      <c r="M425" t="s">
        <v>1036</v>
      </c>
      <c r="N425">
        <v>2020</v>
      </c>
    </row>
    <row r="426" spans="1:14" x14ac:dyDescent="0.3">
      <c r="A426" t="s">
        <v>881</v>
      </c>
      <c r="B426" t="s">
        <v>882</v>
      </c>
      <c r="C426" t="s">
        <v>21</v>
      </c>
      <c r="D426">
        <v>54</v>
      </c>
      <c r="E426" t="s">
        <v>22</v>
      </c>
      <c r="F426" t="s">
        <v>23</v>
      </c>
      <c r="G426" t="s">
        <v>28</v>
      </c>
      <c r="H426">
        <v>145818</v>
      </c>
      <c r="I426" t="s">
        <v>33</v>
      </c>
      <c r="J426" t="s">
        <v>18</v>
      </c>
      <c r="K426" s="1">
        <v>42917</v>
      </c>
      <c r="L426">
        <v>8</v>
      </c>
      <c r="M426" t="s">
        <v>1037</v>
      </c>
      <c r="N426">
        <v>2017</v>
      </c>
    </row>
    <row r="427" spans="1:14" x14ac:dyDescent="0.3">
      <c r="A427" t="s">
        <v>883</v>
      </c>
      <c r="B427" t="s">
        <v>884</v>
      </c>
      <c r="C427" t="s">
        <v>13</v>
      </c>
      <c r="D427">
        <v>58</v>
      </c>
      <c r="E427" t="s">
        <v>22</v>
      </c>
      <c r="F427" t="s">
        <v>23</v>
      </c>
      <c r="G427" t="s">
        <v>50</v>
      </c>
      <c r="H427">
        <v>81272</v>
      </c>
      <c r="I427" t="s">
        <v>42</v>
      </c>
      <c r="J427" t="s">
        <v>18</v>
      </c>
      <c r="K427" s="1">
        <v>42747</v>
      </c>
      <c r="L427">
        <v>9</v>
      </c>
      <c r="M427" t="s">
        <v>1037</v>
      </c>
      <c r="N427">
        <v>2017</v>
      </c>
    </row>
    <row r="428" spans="1:14" x14ac:dyDescent="0.3">
      <c r="A428" t="s">
        <v>885</v>
      </c>
      <c r="B428" t="s">
        <v>886</v>
      </c>
      <c r="C428" t="s">
        <v>13</v>
      </c>
      <c r="D428">
        <v>53</v>
      </c>
      <c r="E428" t="s">
        <v>22</v>
      </c>
      <c r="F428" t="s">
        <v>23</v>
      </c>
      <c r="G428" t="s">
        <v>45</v>
      </c>
      <c r="H428">
        <v>87649</v>
      </c>
      <c r="I428" t="s">
        <v>42</v>
      </c>
      <c r="J428" t="s">
        <v>29</v>
      </c>
      <c r="K428" s="1">
        <v>45052</v>
      </c>
      <c r="L428">
        <v>2</v>
      </c>
      <c r="M428" t="s">
        <v>1035</v>
      </c>
      <c r="N428">
        <v>2023</v>
      </c>
    </row>
    <row r="429" spans="1:14" x14ac:dyDescent="0.3">
      <c r="A429" t="s">
        <v>887</v>
      </c>
      <c r="B429" t="s">
        <v>888</v>
      </c>
      <c r="C429" t="s">
        <v>21</v>
      </c>
      <c r="D429">
        <v>44</v>
      </c>
      <c r="E429" t="s">
        <v>14</v>
      </c>
      <c r="F429" t="s">
        <v>37</v>
      </c>
      <c r="G429" t="s">
        <v>38</v>
      </c>
      <c r="H429">
        <v>84674</v>
      </c>
      <c r="I429" t="s">
        <v>42</v>
      </c>
      <c r="J429" t="s">
        <v>29</v>
      </c>
      <c r="K429" s="1">
        <v>43617</v>
      </c>
      <c r="L429">
        <v>6</v>
      </c>
      <c r="M429" t="s">
        <v>1036</v>
      </c>
      <c r="N429">
        <v>2019</v>
      </c>
    </row>
    <row r="430" spans="1:14" x14ac:dyDescent="0.3">
      <c r="A430" t="s">
        <v>889</v>
      </c>
      <c r="B430" t="s">
        <v>890</v>
      </c>
      <c r="C430" t="s">
        <v>13</v>
      </c>
      <c r="D430">
        <v>71</v>
      </c>
      <c r="E430" t="s">
        <v>53</v>
      </c>
      <c r="F430" t="s">
        <v>41</v>
      </c>
      <c r="G430" t="s">
        <v>50</v>
      </c>
      <c r="H430">
        <v>164832</v>
      </c>
      <c r="I430" t="s">
        <v>17</v>
      </c>
      <c r="J430" t="s">
        <v>18</v>
      </c>
      <c r="K430" s="1">
        <v>42971</v>
      </c>
      <c r="L430">
        <v>8</v>
      </c>
      <c r="M430" t="s">
        <v>1037</v>
      </c>
      <c r="N430">
        <v>2017</v>
      </c>
    </row>
    <row r="431" spans="1:14" x14ac:dyDescent="0.3">
      <c r="A431" t="s">
        <v>891</v>
      </c>
      <c r="B431" t="s">
        <v>892</v>
      </c>
      <c r="C431" t="s">
        <v>21</v>
      </c>
      <c r="D431">
        <v>34</v>
      </c>
      <c r="E431" t="s">
        <v>14</v>
      </c>
      <c r="F431" t="s">
        <v>37</v>
      </c>
      <c r="G431" t="s">
        <v>16</v>
      </c>
      <c r="H431">
        <v>172999</v>
      </c>
      <c r="I431" t="s">
        <v>17</v>
      </c>
      <c r="J431" t="s">
        <v>18</v>
      </c>
      <c r="K431" s="1">
        <v>42894</v>
      </c>
      <c r="L431">
        <v>8</v>
      </c>
      <c r="M431" t="s">
        <v>1037</v>
      </c>
      <c r="N431">
        <v>2017</v>
      </c>
    </row>
    <row r="432" spans="1:14" x14ac:dyDescent="0.3">
      <c r="A432" t="s">
        <v>893</v>
      </c>
      <c r="B432" t="s">
        <v>894</v>
      </c>
      <c r="C432" t="s">
        <v>13</v>
      </c>
      <c r="D432">
        <v>26</v>
      </c>
      <c r="E432" t="s">
        <v>36</v>
      </c>
      <c r="F432" t="s">
        <v>37</v>
      </c>
      <c r="G432" t="s">
        <v>24</v>
      </c>
      <c r="H432">
        <v>106475</v>
      </c>
      <c r="I432" t="s">
        <v>33</v>
      </c>
      <c r="J432" t="s">
        <v>18</v>
      </c>
      <c r="K432" s="1">
        <v>45133</v>
      </c>
      <c r="L432">
        <v>2</v>
      </c>
      <c r="M432" t="s">
        <v>1035</v>
      </c>
      <c r="N432">
        <v>2023</v>
      </c>
    </row>
    <row r="433" spans="1:14" x14ac:dyDescent="0.3">
      <c r="A433" t="s">
        <v>895</v>
      </c>
      <c r="B433" t="s">
        <v>896</v>
      </c>
      <c r="C433" t="s">
        <v>21</v>
      </c>
      <c r="D433">
        <v>50</v>
      </c>
      <c r="E433" t="s">
        <v>22</v>
      </c>
      <c r="F433" t="s">
        <v>23</v>
      </c>
      <c r="G433" t="s">
        <v>24</v>
      </c>
      <c r="H433">
        <v>81367</v>
      </c>
      <c r="I433" t="s">
        <v>42</v>
      </c>
      <c r="J433" t="s">
        <v>25</v>
      </c>
      <c r="K433" s="1">
        <v>42887</v>
      </c>
      <c r="L433">
        <v>8</v>
      </c>
      <c r="M433" t="s">
        <v>1037</v>
      </c>
      <c r="N433">
        <v>2017</v>
      </c>
    </row>
    <row r="434" spans="1:14" x14ac:dyDescent="0.3">
      <c r="A434" t="s">
        <v>897</v>
      </c>
      <c r="B434" t="s">
        <v>898</v>
      </c>
      <c r="C434" t="s">
        <v>13</v>
      </c>
      <c r="D434">
        <v>70</v>
      </c>
      <c r="E434" t="s">
        <v>53</v>
      </c>
      <c r="F434" t="s">
        <v>23</v>
      </c>
      <c r="G434" t="s">
        <v>32</v>
      </c>
      <c r="H434">
        <v>163660</v>
      </c>
      <c r="I434" t="s">
        <v>17</v>
      </c>
      <c r="J434" t="s">
        <v>25</v>
      </c>
      <c r="K434" s="1">
        <v>43774</v>
      </c>
      <c r="L434">
        <v>6</v>
      </c>
      <c r="M434" t="s">
        <v>1036</v>
      </c>
      <c r="N434">
        <v>2019</v>
      </c>
    </row>
    <row r="435" spans="1:14" x14ac:dyDescent="0.3">
      <c r="A435" t="s">
        <v>899</v>
      </c>
      <c r="B435" t="s">
        <v>900</v>
      </c>
      <c r="C435" t="s">
        <v>21</v>
      </c>
      <c r="D435">
        <v>37</v>
      </c>
      <c r="E435" t="s">
        <v>14</v>
      </c>
      <c r="F435" t="s">
        <v>15</v>
      </c>
      <c r="G435" t="s">
        <v>28</v>
      </c>
      <c r="H435">
        <v>141750</v>
      </c>
      <c r="I435" t="s">
        <v>33</v>
      </c>
      <c r="J435" t="s">
        <v>18</v>
      </c>
      <c r="K435" s="1">
        <v>43599</v>
      </c>
      <c r="L435">
        <v>6</v>
      </c>
      <c r="M435" t="s">
        <v>1036</v>
      </c>
      <c r="N435">
        <v>2019</v>
      </c>
    </row>
    <row r="436" spans="1:14" x14ac:dyDescent="0.3">
      <c r="A436" t="s">
        <v>901</v>
      </c>
      <c r="B436" t="s">
        <v>902</v>
      </c>
      <c r="C436" t="s">
        <v>21</v>
      </c>
      <c r="D436">
        <v>30</v>
      </c>
      <c r="E436" t="s">
        <v>14</v>
      </c>
      <c r="F436" t="s">
        <v>15</v>
      </c>
      <c r="G436" t="s">
        <v>16</v>
      </c>
      <c r="H436">
        <v>138154</v>
      </c>
      <c r="I436" t="s">
        <v>33</v>
      </c>
      <c r="J436" t="s">
        <v>18</v>
      </c>
      <c r="K436" s="1">
        <v>44896</v>
      </c>
      <c r="L436">
        <v>3</v>
      </c>
      <c r="M436" t="s">
        <v>1035</v>
      </c>
      <c r="N436">
        <v>2022</v>
      </c>
    </row>
    <row r="437" spans="1:14" x14ac:dyDescent="0.3">
      <c r="A437" t="s">
        <v>903</v>
      </c>
      <c r="B437" t="s">
        <v>904</v>
      </c>
      <c r="C437" t="s">
        <v>21</v>
      </c>
      <c r="D437">
        <v>45</v>
      </c>
      <c r="E437" t="s">
        <v>22</v>
      </c>
      <c r="F437" t="s">
        <v>37</v>
      </c>
      <c r="G437" t="s">
        <v>32</v>
      </c>
      <c r="H437">
        <v>64738</v>
      </c>
      <c r="I437" t="s">
        <v>42</v>
      </c>
      <c r="J437" t="s">
        <v>25</v>
      </c>
      <c r="K437" s="1">
        <v>43760</v>
      </c>
      <c r="L437">
        <v>6</v>
      </c>
      <c r="M437" t="s">
        <v>1036</v>
      </c>
      <c r="N437">
        <v>2019</v>
      </c>
    </row>
    <row r="438" spans="1:14" x14ac:dyDescent="0.3">
      <c r="A438" t="s">
        <v>905</v>
      </c>
      <c r="B438" t="s">
        <v>906</v>
      </c>
      <c r="C438" t="s">
        <v>21</v>
      </c>
      <c r="D438">
        <v>65</v>
      </c>
      <c r="E438" t="s">
        <v>53</v>
      </c>
      <c r="F438" t="s">
        <v>41</v>
      </c>
      <c r="G438" t="s">
        <v>16</v>
      </c>
      <c r="H438">
        <v>53397</v>
      </c>
      <c r="I438" t="s">
        <v>42</v>
      </c>
      <c r="J438" t="s">
        <v>25</v>
      </c>
      <c r="K438" s="1">
        <v>45281</v>
      </c>
      <c r="L438">
        <v>2</v>
      </c>
      <c r="M438" t="s">
        <v>1035</v>
      </c>
      <c r="N438">
        <v>2023</v>
      </c>
    </row>
    <row r="439" spans="1:14" x14ac:dyDescent="0.3">
      <c r="A439" t="s">
        <v>907</v>
      </c>
      <c r="B439" t="s">
        <v>908</v>
      </c>
      <c r="C439" t="s">
        <v>21</v>
      </c>
      <c r="D439">
        <v>46</v>
      </c>
      <c r="E439" t="s">
        <v>22</v>
      </c>
      <c r="F439" t="s">
        <v>23</v>
      </c>
      <c r="G439" t="s">
        <v>28</v>
      </c>
      <c r="H439">
        <v>102189</v>
      </c>
      <c r="I439" t="s">
        <v>33</v>
      </c>
      <c r="J439" t="s">
        <v>18</v>
      </c>
      <c r="K439" s="1">
        <v>45037</v>
      </c>
      <c r="L439">
        <v>2</v>
      </c>
      <c r="M439" t="s">
        <v>1035</v>
      </c>
      <c r="N439">
        <v>2023</v>
      </c>
    </row>
    <row r="440" spans="1:14" x14ac:dyDescent="0.3">
      <c r="A440" t="s">
        <v>909</v>
      </c>
      <c r="B440" t="s">
        <v>910</v>
      </c>
      <c r="C440" t="s">
        <v>13</v>
      </c>
      <c r="D440">
        <v>30</v>
      </c>
      <c r="E440" t="s">
        <v>14</v>
      </c>
      <c r="F440" t="s">
        <v>23</v>
      </c>
      <c r="G440" t="s">
        <v>50</v>
      </c>
      <c r="H440">
        <v>96367</v>
      </c>
      <c r="I440" t="s">
        <v>42</v>
      </c>
      <c r="J440" t="s">
        <v>18</v>
      </c>
      <c r="K440" s="1">
        <v>45328</v>
      </c>
      <c r="L440">
        <v>2</v>
      </c>
      <c r="M440" t="s">
        <v>1035</v>
      </c>
      <c r="N440">
        <v>2024</v>
      </c>
    </row>
    <row r="441" spans="1:14" x14ac:dyDescent="0.3">
      <c r="A441" t="s">
        <v>911</v>
      </c>
      <c r="B441" t="s">
        <v>912</v>
      </c>
      <c r="C441" t="s">
        <v>13</v>
      </c>
      <c r="D441">
        <v>63</v>
      </c>
      <c r="E441" t="s">
        <v>53</v>
      </c>
      <c r="F441" t="s">
        <v>37</v>
      </c>
      <c r="G441" t="s">
        <v>50</v>
      </c>
      <c r="H441">
        <v>140585</v>
      </c>
      <c r="I441" t="s">
        <v>33</v>
      </c>
      <c r="J441" t="s">
        <v>18</v>
      </c>
      <c r="K441" s="1">
        <v>43274</v>
      </c>
      <c r="L441">
        <v>7</v>
      </c>
      <c r="M441" t="s">
        <v>1036</v>
      </c>
      <c r="N441">
        <v>2018</v>
      </c>
    </row>
    <row r="442" spans="1:14" x14ac:dyDescent="0.3">
      <c r="A442" t="s">
        <v>913</v>
      </c>
      <c r="B442" t="s">
        <v>914</v>
      </c>
      <c r="C442" t="s">
        <v>13</v>
      </c>
      <c r="D442">
        <v>52</v>
      </c>
      <c r="E442" t="s">
        <v>22</v>
      </c>
      <c r="F442" t="s">
        <v>15</v>
      </c>
      <c r="G442" t="s">
        <v>24</v>
      </c>
      <c r="H442">
        <v>96619</v>
      </c>
      <c r="I442" t="s">
        <v>42</v>
      </c>
      <c r="J442" t="s">
        <v>18</v>
      </c>
      <c r="K442" s="1">
        <v>44964</v>
      </c>
      <c r="L442">
        <v>3</v>
      </c>
      <c r="M442" t="s">
        <v>1035</v>
      </c>
      <c r="N442">
        <v>2023</v>
      </c>
    </row>
    <row r="443" spans="1:14" x14ac:dyDescent="0.3">
      <c r="A443" t="s">
        <v>915</v>
      </c>
      <c r="B443" t="s">
        <v>916</v>
      </c>
      <c r="C443" t="s">
        <v>21</v>
      </c>
      <c r="D443">
        <v>23</v>
      </c>
      <c r="E443" t="s">
        <v>36</v>
      </c>
      <c r="F443" t="s">
        <v>41</v>
      </c>
      <c r="G443" t="s">
        <v>50</v>
      </c>
      <c r="H443">
        <v>131453</v>
      </c>
      <c r="I443" t="s">
        <v>33</v>
      </c>
      <c r="J443" t="s">
        <v>18</v>
      </c>
      <c r="K443" s="1">
        <v>44692</v>
      </c>
      <c r="L443">
        <v>3</v>
      </c>
      <c r="M443" t="s">
        <v>1035</v>
      </c>
      <c r="N443">
        <v>2022</v>
      </c>
    </row>
    <row r="444" spans="1:14" x14ac:dyDescent="0.3">
      <c r="A444" t="s">
        <v>917</v>
      </c>
      <c r="B444" t="s">
        <v>918</v>
      </c>
      <c r="C444" t="s">
        <v>13</v>
      </c>
      <c r="D444">
        <v>35</v>
      </c>
      <c r="E444" t="s">
        <v>14</v>
      </c>
      <c r="F444" t="s">
        <v>15</v>
      </c>
      <c r="G444" t="s">
        <v>50</v>
      </c>
      <c r="H444">
        <v>39816</v>
      </c>
      <c r="I444" t="s">
        <v>42</v>
      </c>
      <c r="J444" t="s">
        <v>25</v>
      </c>
      <c r="K444" s="1">
        <v>43285</v>
      </c>
      <c r="L444">
        <v>7</v>
      </c>
      <c r="M444" t="s">
        <v>1036</v>
      </c>
      <c r="N444">
        <v>2018</v>
      </c>
    </row>
    <row r="445" spans="1:14" x14ac:dyDescent="0.3">
      <c r="A445" t="s">
        <v>919</v>
      </c>
      <c r="B445" t="s">
        <v>920</v>
      </c>
      <c r="C445" t="s">
        <v>21</v>
      </c>
      <c r="D445">
        <v>68</v>
      </c>
      <c r="E445" t="s">
        <v>53</v>
      </c>
      <c r="F445" t="s">
        <v>15</v>
      </c>
      <c r="G445" t="s">
        <v>45</v>
      </c>
      <c r="H445">
        <v>193312</v>
      </c>
      <c r="I445" t="s">
        <v>17</v>
      </c>
      <c r="J445" t="s">
        <v>25</v>
      </c>
      <c r="K445" s="1">
        <v>43074</v>
      </c>
      <c r="L445">
        <v>8</v>
      </c>
      <c r="M445" t="s">
        <v>1037</v>
      </c>
      <c r="N445">
        <v>2017</v>
      </c>
    </row>
    <row r="446" spans="1:14" x14ac:dyDescent="0.3">
      <c r="A446" t="s">
        <v>921</v>
      </c>
      <c r="B446" t="s">
        <v>922</v>
      </c>
      <c r="C446" t="s">
        <v>21</v>
      </c>
      <c r="D446">
        <v>22</v>
      </c>
      <c r="E446" t="s">
        <v>36</v>
      </c>
      <c r="F446" t="s">
        <v>15</v>
      </c>
      <c r="G446" t="s">
        <v>24</v>
      </c>
      <c r="H446">
        <v>157348</v>
      </c>
      <c r="I446" t="s">
        <v>17</v>
      </c>
      <c r="J446" t="s">
        <v>25</v>
      </c>
      <c r="K446" s="1">
        <v>44666</v>
      </c>
      <c r="L446">
        <v>4</v>
      </c>
      <c r="M446" t="s">
        <v>1036</v>
      </c>
      <c r="N446">
        <v>2022</v>
      </c>
    </row>
    <row r="447" spans="1:14" x14ac:dyDescent="0.3">
      <c r="A447" t="s">
        <v>923</v>
      </c>
      <c r="B447" t="s">
        <v>924</v>
      </c>
      <c r="C447" t="s">
        <v>13</v>
      </c>
      <c r="D447">
        <v>64</v>
      </c>
      <c r="E447" t="s">
        <v>53</v>
      </c>
      <c r="F447" t="s">
        <v>15</v>
      </c>
      <c r="G447" t="s">
        <v>32</v>
      </c>
      <c r="H447">
        <v>99530</v>
      </c>
      <c r="I447" t="s">
        <v>42</v>
      </c>
      <c r="J447" t="s">
        <v>25</v>
      </c>
      <c r="K447" s="1">
        <v>44459</v>
      </c>
      <c r="L447">
        <v>4</v>
      </c>
      <c r="M447" t="s">
        <v>1036</v>
      </c>
      <c r="N447">
        <v>2021</v>
      </c>
    </row>
    <row r="448" spans="1:14" x14ac:dyDescent="0.3">
      <c r="A448" t="s">
        <v>925</v>
      </c>
      <c r="B448" t="s">
        <v>926</v>
      </c>
      <c r="C448" t="s">
        <v>13</v>
      </c>
      <c r="D448">
        <v>42</v>
      </c>
      <c r="E448" t="s">
        <v>14</v>
      </c>
      <c r="F448" t="s">
        <v>23</v>
      </c>
      <c r="G448" t="s">
        <v>38</v>
      </c>
      <c r="H448">
        <v>174571</v>
      </c>
      <c r="I448" t="s">
        <v>17</v>
      </c>
      <c r="J448" t="s">
        <v>18</v>
      </c>
      <c r="K448" s="1">
        <v>44994</v>
      </c>
      <c r="L448">
        <v>3</v>
      </c>
      <c r="M448" t="s">
        <v>1035</v>
      </c>
      <c r="N448">
        <v>2023</v>
      </c>
    </row>
    <row r="449" spans="1:14" x14ac:dyDescent="0.3">
      <c r="A449" t="s">
        <v>927</v>
      </c>
      <c r="B449" t="s">
        <v>928</v>
      </c>
      <c r="C449" t="s">
        <v>21</v>
      </c>
      <c r="D449">
        <v>19</v>
      </c>
      <c r="E449" t="s">
        <v>36</v>
      </c>
      <c r="F449" t="s">
        <v>23</v>
      </c>
      <c r="G449" t="s">
        <v>45</v>
      </c>
      <c r="H449">
        <v>128856</v>
      </c>
      <c r="I449" t="s">
        <v>33</v>
      </c>
      <c r="J449" t="s">
        <v>18</v>
      </c>
      <c r="K449" s="1">
        <v>44493</v>
      </c>
      <c r="L449">
        <v>4</v>
      </c>
      <c r="M449" t="s">
        <v>1036</v>
      </c>
      <c r="N449">
        <v>2021</v>
      </c>
    </row>
    <row r="450" spans="1:14" x14ac:dyDescent="0.3">
      <c r="A450" t="s">
        <v>929</v>
      </c>
      <c r="B450" t="s">
        <v>930</v>
      </c>
      <c r="C450" t="s">
        <v>13</v>
      </c>
      <c r="D450">
        <v>27</v>
      </c>
      <c r="E450" t="s">
        <v>36</v>
      </c>
      <c r="F450" t="s">
        <v>15</v>
      </c>
      <c r="G450" t="s">
        <v>32</v>
      </c>
      <c r="H450">
        <v>91635</v>
      </c>
      <c r="I450" t="s">
        <v>42</v>
      </c>
      <c r="J450" t="s">
        <v>18</v>
      </c>
      <c r="K450" s="1">
        <v>44032</v>
      </c>
      <c r="L450">
        <v>5</v>
      </c>
      <c r="M450" t="s">
        <v>1036</v>
      </c>
      <c r="N450">
        <v>2020</v>
      </c>
    </row>
    <row r="451" spans="1:14" x14ac:dyDescent="0.3">
      <c r="A451" t="s">
        <v>931</v>
      </c>
      <c r="B451" t="s">
        <v>932</v>
      </c>
      <c r="C451" t="s">
        <v>21</v>
      </c>
      <c r="D451">
        <v>73</v>
      </c>
      <c r="E451" t="s">
        <v>53</v>
      </c>
      <c r="F451" t="s">
        <v>41</v>
      </c>
      <c r="G451" t="s">
        <v>28</v>
      </c>
      <c r="H451">
        <v>127803</v>
      </c>
      <c r="I451" t="s">
        <v>33</v>
      </c>
      <c r="J451" t="s">
        <v>18</v>
      </c>
      <c r="K451" s="1">
        <v>45486</v>
      </c>
      <c r="L451">
        <v>1</v>
      </c>
      <c r="M451" t="s">
        <v>1038</v>
      </c>
      <c r="N451">
        <v>2024</v>
      </c>
    </row>
    <row r="452" spans="1:14" x14ac:dyDescent="0.3">
      <c r="A452" t="s">
        <v>933</v>
      </c>
      <c r="B452" t="s">
        <v>934</v>
      </c>
      <c r="C452" t="s">
        <v>21</v>
      </c>
      <c r="D452">
        <v>47</v>
      </c>
      <c r="E452" t="s">
        <v>22</v>
      </c>
      <c r="F452" t="s">
        <v>37</v>
      </c>
      <c r="G452" t="s">
        <v>45</v>
      </c>
      <c r="H452">
        <v>55946</v>
      </c>
      <c r="I452" t="s">
        <v>42</v>
      </c>
      <c r="J452" t="s">
        <v>25</v>
      </c>
      <c r="K452" s="1">
        <v>42580</v>
      </c>
      <c r="L452">
        <v>9</v>
      </c>
      <c r="M452" t="s">
        <v>1037</v>
      </c>
      <c r="N452">
        <v>2016</v>
      </c>
    </row>
    <row r="453" spans="1:14" x14ac:dyDescent="0.3">
      <c r="A453" t="s">
        <v>935</v>
      </c>
      <c r="B453" t="s">
        <v>936</v>
      </c>
      <c r="C453" t="s">
        <v>21</v>
      </c>
      <c r="D453">
        <v>67</v>
      </c>
      <c r="E453" t="s">
        <v>53</v>
      </c>
      <c r="F453" t="s">
        <v>41</v>
      </c>
      <c r="G453" t="s">
        <v>32</v>
      </c>
      <c r="H453">
        <v>75204</v>
      </c>
      <c r="I453" t="s">
        <v>42</v>
      </c>
      <c r="J453" t="s">
        <v>29</v>
      </c>
      <c r="K453" s="1">
        <v>45412</v>
      </c>
      <c r="L453">
        <v>1</v>
      </c>
      <c r="M453" t="s">
        <v>1038</v>
      </c>
      <c r="N453">
        <v>2024</v>
      </c>
    </row>
    <row r="454" spans="1:14" x14ac:dyDescent="0.3">
      <c r="A454" t="s">
        <v>937</v>
      </c>
      <c r="B454" t="s">
        <v>938</v>
      </c>
      <c r="C454" t="s">
        <v>21</v>
      </c>
      <c r="D454">
        <v>62</v>
      </c>
      <c r="E454" t="s">
        <v>53</v>
      </c>
      <c r="F454" t="s">
        <v>41</v>
      </c>
      <c r="G454" t="s">
        <v>28</v>
      </c>
      <c r="H454">
        <v>35563</v>
      </c>
      <c r="I454" t="s">
        <v>42</v>
      </c>
      <c r="J454" t="s">
        <v>18</v>
      </c>
      <c r="K454" s="1">
        <v>43669</v>
      </c>
      <c r="L454">
        <v>6</v>
      </c>
      <c r="M454" t="s">
        <v>1036</v>
      </c>
      <c r="N454">
        <v>2019</v>
      </c>
    </row>
    <row r="455" spans="1:14" x14ac:dyDescent="0.3">
      <c r="A455" t="s">
        <v>939</v>
      </c>
      <c r="B455" t="s">
        <v>940</v>
      </c>
      <c r="C455" t="s">
        <v>21</v>
      </c>
      <c r="D455">
        <v>22</v>
      </c>
      <c r="E455" t="s">
        <v>36</v>
      </c>
      <c r="F455" t="s">
        <v>41</v>
      </c>
      <c r="G455" t="s">
        <v>24</v>
      </c>
      <c r="H455">
        <v>112324</v>
      </c>
      <c r="I455" t="s">
        <v>33</v>
      </c>
      <c r="J455" t="s">
        <v>18</v>
      </c>
      <c r="K455" s="1">
        <v>43074</v>
      </c>
      <c r="L455">
        <v>8</v>
      </c>
      <c r="M455" t="s">
        <v>1037</v>
      </c>
      <c r="N455">
        <v>2017</v>
      </c>
    </row>
    <row r="456" spans="1:14" x14ac:dyDescent="0.3">
      <c r="A456" t="s">
        <v>941</v>
      </c>
      <c r="B456" t="s">
        <v>942</v>
      </c>
      <c r="C456" t="s">
        <v>13</v>
      </c>
      <c r="D456">
        <v>72</v>
      </c>
      <c r="E456" t="s">
        <v>53</v>
      </c>
      <c r="F456" t="s">
        <v>15</v>
      </c>
      <c r="G456" t="s">
        <v>38</v>
      </c>
      <c r="H456">
        <v>29847</v>
      </c>
      <c r="I456" t="s">
        <v>42</v>
      </c>
      <c r="J456" t="s">
        <v>25</v>
      </c>
      <c r="K456" s="1">
        <v>44557</v>
      </c>
      <c r="L456">
        <v>4</v>
      </c>
      <c r="M456" t="s">
        <v>1036</v>
      </c>
      <c r="N456">
        <v>2021</v>
      </c>
    </row>
    <row r="457" spans="1:14" x14ac:dyDescent="0.3">
      <c r="A457" t="s">
        <v>943</v>
      </c>
      <c r="B457" t="s">
        <v>944</v>
      </c>
      <c r="C457" t="s">
        <v>13</v>
      </c>
      <c r="D457">
        <v>73</v>
      </c>
      <c r="E457" t="s">
        <v>53</v>
      </c>
      <c r="F457" t="s">
        <v>23</v>
      </c>
      <c r="G457" t="s">
        <v>28</v>
      </c>
      <c r="H457">
        <v>46155</v>
      </c>
      <c r="I457" t="s">
        <v>42</v>
      </c>
      <c r="J457" t="s">
        <v>18</v>
      </c>
      <c r="K457" s="1">
        <v>42386</v>
      </c>
      <c r="L457">
        <v>10</v>
      </c>
      <c r="M457" t="s">
        <v>1037</v>
      </c>
      <c r="N457">
        <v>2016</v>
      </c>
    </row>
    <row r="458" spans="1:14" x14ac:dyDescent="0.3">
      <c r="A458" t="s">
        <v>945</v>
      </c>
      <c r="B458" t="s">
        <v>946</v>
      </c>
      <c r="C458" t="s">
        <v>21</v>
      </c>
      <c r="D458">
        <v>50</v>
      </c>
      <c r="E458" t="s">
        <v>22</v>
      </c>
      <c r="F458" t="s">
        <v>41</v>
      </c>
      <c r="G458" t="s">
        <v>50</v>
      </c>
      <c r="H458">
        <v>99671</v>
      </c>
      <c r="I458" t="s">
        <v>42</v>
      </c>
      <c r="J458" t="s">
        <v>18</v>
      </c>
      <c r="K458" s="1">
        <v>42416</v>
      </c>
      <c r="L458">
        <v>10</v>
      </c>
      <c r="M458" t="s">
        <v>1037</v>
      </c>
      <c r="N458">
        <v>2016</v>
      </c>
    </row>
    <row r="459" spans="1:14" x14ac:dyDescent="0.3">
      <c r="A459" t="s">
        <v>947</v>
      </c>
      <c r="B459" t="s">
        <v>948</v>
      </c>
      <c r="C459" t="s">
        <v>21</v>
      </c>
      <c r="D459">
        <v>71</v>
      </c>
      <c r="E459" t="s">
        <v>53</v>
      </c>
      <c r="F459" t="s">
        <v>15</v>
      </c>
      <c r="G459" t="s">
        <v>16</v>
      </c>
      <c r="H459">
        <v>136891</v>
      </c>
      <c r="I459" t="s">
        <v>33</v>
      </c>
      <c r="J459" t="s">
        <v>25</v>
      </c>
      <c r="K459" s="1">
        <v>45469</v>
      </c>
      <c r="L459">
        <v>1</v>
      </c>
      <c r="M459" t="s">
        <v>1038</v>
      </c>
      <c r="N459">
        <v>2024</v>
      </c>
    </row>
    <row r="460" spans="1:14" x14ac:dyDescent="0.3">
      <c r="A460" t="s">
        <v>949</v>
      </c>
      <c r="B460" t="s">
        <v>950</v>
      </c>
      <c r="C460" t="s">
        <v>13</v>
      </c>
      <c r="D460">
        <v>18</v>
      </c>
      <c r="E460" t="s">
        <v>36</v>
      </c>
      <c r="F460" t="s">
        <v>41</v>
      </c>
      <c r="G460" t="s">
        <v>28</v>
      </c>
      <c r="H460">
        <v>103310</v>
      </c>
      <c r="I460" t="s">
        <v>33</v>
      </c>
      <c r="J460" t="s">
        <v>25</v>
      </c>
      <c r="K460" s="1">
        <v>43849</v>
      </c>
      <c r="L460">
        <v>6</v>
      </c>
      <c r="M460" t="s">
        <v>1036</v>
      </c>
      <c r="N460">
        <v>2020</v>
      </c>
    </row>
    <row r="461" spans="1:14" x14ac:dyDescent="0.3">
      <c r="A461" t="s">
        <v>951</v>
      </c>
      <c r="B461" t="s">
        <v>952</v>
      </c>
      <c r="C461" t="s">
        <v>13</v>
      </c>
      <c r="D461">
        <v>35</v>
      </c>
      <c r="E461" t="s">
        <v>14</v>
      </c>
      <c r="F461" t="s">
        <v>41</v>
      </c>
      <c r="G461" t="s">
        <v>28</v>
      </c>
      <c r="H461">
        <v>169381</v>
      </c>
      <c r="I461" t="s">
        <v>17</v>
      </c>
      <c r="J461" t="s">
        <v>18</v>
      </c>
      <c r="K461" s="1">
        <v>44357</v>
      </c>
      <c r="L461">
        <v>4</v>
      </c>
      <c r="M461" t="s">
        <v>1036</v>
      </c>
      <c r="N461">
        <v>2021</v>
      </c>
    </row>
    <row r="462" spans="1:14" x14ac:dyDescent="0.3">
      <c r="A462" t="s">
        <v>953</v>
      </c>
      <c r="B462" t="s">
        <v>954</v>
      </c>
      <c r="C462" t="s">
        <v>21</v>
      </c>
      <c r="D462">
        <v>49</v>
      </c>
      <c r="E462" t="s">
        <v>22</v>
      </c>
      <c r="F462" t="s">
        <v>15</v>
      </c>
      <c r="G462" t="s">
        <v>38</v>
      </c>
      <c r="H462">
        <v>151691</v>
      </c>
      <c r="I462" t="s">
        <v>17</v>
      </c>
      <c r="J462" t="s">
        <v>18</v>
      </c>
      <c r="K462" s="1">
        <v>43401</v>
      </c>
      <c r="L462">
        <v>7</v>
      </c>
      <c r="M462" t="s">
        <v>1036</v>
      </c>
      <c r="N462">
        <v>2018</v>
      </c>
    </row>
    <row r="463" spans="1:14" x14ac:dyDescent="0.3">
      <c r="A463" t="s">
        <v>955</v>
      </c>
      <c r="B463" t="s">
        <v>956</v>
      </c>
      <c r="C463" t="s">
        <v>13</v>
      </c>
      <c r="D463">
        <v>64</v>
      </c>
      <c r="E463" t="s">
        <v>53</v>
      </c>
      <c r="F463" t="s">
        <v>23</v>
      </c>
      <c r="G463" t="s">
        <v>16</v>
      </c>
      <c r="H463">
        <v>54707</v>
      </c>
      <c r="I463" t="s">
        <v>42</v>
      </c>
      <c r="J463" t="s">
        <v>25</v>
      </c>
      <c r="K463" s="1">
        <v>43726</v>
      </c>
      <c r="L463">
        <v>6</v>
      </c>
      <c r="M463" t="s">
        <v>1036</v>
      </c>
      <c r="N463">
        <v>2019</v>
      </c>
    </row>
    <row r="464" spans="1:14" x14ac:dyDescent="0.3">
      <c r="A464" t="s">
        <v>957</v>
      </c>
      <c r="B464" t="s">
        <v>958</v>
      </c>
      <c r="C464" t="s">
        <v>21</v>
      </c>
      <c r="D464">
        <v>66</v>
      </c>
      <c r="E464" t="s">
        <v>53</v>
      </c>
      <c r="F464" t="s">
        <v>23</v>
      </c>
      <c r="G464" t="s">
        <v>50</v>
      </c>
      <c r="H464">
        <v>171409</v>
      </c>
      <c r="I464" t="s">
        <v>17</v>
      </c>
      <c r="J464" t="s">
        <v>18</v>
      </c>
      <c r="K464" s="1">
        <v>45484</v>
      </c>
      <c r="L464">
        <v>1</v>
      </c>
      <c r="M464" t="s">
        <v>1038</v>
      </c>
      <c r="N464">
        <v>2024</v>
      </c>
    </row>
    <row r="465" spans="1:14" x14ac:dyDescent="0.3">
      <c r="A465" t="s">
        <v>959</v>
      </c>
      <c r="B465" t="s">
        <v>960</v>
      </c>
      <c r="C465" t="s">
        <v>13</v>
      </c>
      <c r="D465">
        <v>28</v>
      </c>
      <c r="E465" t="s">
        <v>36</v>
      </c>
      <c r="F465" t="s">
        <v>37</v>
      </c>
      <c r="G465" t="s">
        <v>32</v>
      </c>
      <c r="H465">
        <v>101537</v>
      </c>
      <c r="I465" t="s">
        <v>33</v>
      </c>
      <c r="J465" t="s">
        <v>18</v>
      </c>
      <c r="K465" s="1">
        <v>43028</v>
      </c>
      <c r="L465">
        <v>8</v>
      </c>
      <c r="M465" t="s">
        <v>1037</v>
      </c>
      <c r="N465">
        <v>2017</v>
      </c>
    </row>
    <row r="466" spans="1:14" x14ac:dyDescent="0.3">
      <c r="A466" t="s">
        <v>961</v>
      </c>
      <c r="B466" t="s">
        <v>962</v>
      </c>
      <c r="C466" t="s">
        <v>21</v>
      </c>
      <c r="D466">
        <v>38</v>
      </c>
      <c r="E466" t="s">
        <v>14</v>
      </c>
      <c r="F466" t="s">
        <v>15</v>
      </c>
      <c r="G466" t="s">
        <v>32</v>
      </c>
      <c r="H466">
        <v>198686</v>
      </c>
      <c r="I466" t="s">
        <v>17</v>
      </c>
      <c r="J466" t="s">
        <v>25</v>
      </c>
      <c r="K466" s="1">
        <v>45801</v>
      </c>
      <c r="L466">
        <v>0</v>
      </c>
      <c r="M466" t="s">
        <v>1038</v>
      </c>
      <c r="N466">
        <v>2025</v>
      </c>
    </row>
    <row r="467" spans="1:14" x14ac:dyDescent="0.3">
      <c r="A467" t="s">
        <v>963</v>
      </c>
      <c r="B467" t="s">
        <v>964</v>
      </c>
      <c r="C467" t="s">
        <v>13</v>
      </c>
      <c r="D467">
        <v>43</v>
      </c>
      <c r="E467" t="s">
        <v>14</v>
      </c>
      <c r="F467" t="s">
        <v>37</v>
      </c>
      <c r="G467" t="s">
        <v>28</v>
      </c>
      <c r="H467">
        <v>111155</v>
      </c>
      <c r="I467" t="s">
        <v>33</v>
      </c>
      <c r="J467" t="s">
        <v>18</v>
      </c>
      <c r="K467" s="1">
        <v>44745</v>
      </c>
      <c r="L467">
        <v>3</v>
      </c>
      <c r="M467" t="s">
        <v>1035</v>
      </c>
      <c r="N467">
        <v>2022</v>
      </c>
    </row>
    <row r="468" spans="1:14" x14ac:dyDescent="0.3">
      <c r="A468" t="s">
        <v>965</v>
      </c>
      <c r="B468" t="s">
        <v>966</v>
      </c>
      <c r="C468" t="s">
        <v>21</v>
      </c>
      <c r="D468">
        <v>42</v>
      </c>
      <c r="E468" t="s">
        <v>14</v>
      </c>
      <c r="F468" t="s">
        <v>37</v>
      </c>
      <c r="G468" t="s">
        <v>16</v>
      </c>
      <c r="H468">
        <v>20281</v>
      </c>
      <c r="I468" t="s">
        <v>42</v>
      </c>
      <c r="J468" t="s">
        <v>25</v>
      </c>
      <c r="K468" s="1">
        <v>44498</v>
      </c>
      <c r="L468">
        <v>4</v>
      </c>
      <c r="M468" t="s">
        <v>1036</v>
      </c>
      <c r="N468">
        <v>2021</v>
      </c>
    </row>
    <row r="469" spans="1:14" x14ac:dyDescent="0.3">
      <c r="A469" t="s">
        <v>967</v>
      </c>
      <c r="B469" t="s">
        <v>968</v>
      </c>
      <c r="C469" t="s">
        <v>13</v>
      </c>
      <c r="D469">
        <v>39</v>
      </c>
      <c r="E469" t="s">
        <v>14</v>
      </c>
      <c r="F469" t="s">
        <v>37</v>
      </c>
      <c r="G469" t="s">
        <v>16</v>
      </c>
      <c r="H469">
        <v>178492</v>
      </c>
      <c r="I469" t="s">
        <v>17</v>
      </c>
      <c r="J469" t="s">
        <v>18</v>
      </c>
      <c r="K469" s="1">
        <v>45319</v>
      </c>
      <c r="L469">
        <v>2</v>
      </c>
      <c r="M469" t="s">
        <v>1035</v>
      </c>
      <c r="N469">
        <v>2024</v>
      </c>
    </row>
    <row r="470" spans="1:14" x14ac:dyDescent="0.3">
      <c r="A470" t="s">
        <v>969</v>
      </c>
      <c r="B470" t="s">
        <v>970</v>
      </c>
      <c r="C470" t="s">
        <v>13</v>
      </c>
      <c r="D470">
        <v>44</v>
      </c>
      <c r="E470" t="s">
        <v>14</v>
      </c>
      <c r="F470" t="s">
        <v>23</v>
      </c>
      <c r="G470" t="s">
        <v>50</v>
      </c>
      <c r="H470">
        <v>190102</v>
      </c>
      <c r="I470" t="s">
        <v>17</v>
      </c>
      <c r="J470" t="s">
        <v>29</v>
      </c>
      <c r="K470" s="1">
        <v>42954</v>
      </c>
      <c r="L470">
        <v>8</v>
      </c>
      <c r="M470" t="s">
        <v>1037</v>
      </c>
      <c r="N470">
        <v>2017</v>
      </c>
    </row>
    <row r="471" spans="1:14" x14ac:dyDescent="0.3">
      <c r="A471" t="s">
        <v>971</v>
      </c>
      <c r="B471" t="s">
        <v>972</v>
      </c>
      <c r="C471" t="s">
        <v>21</v>
      </c>
      <c r="D471">
        <v>66</v>
      </c>
      <c r="E471" t="s">
        <v>53</v>
      </c>
      <c r="F471" t="s">
        <v>15</v>
      </c>
      <c r="G471" t="s">
        <v>38</v>
      </c>
      <c r="H471">
        <v>152130</v>
      </c>
      <c r="I471" t="s">
        <v>17</v>
      </c>
      <c r="J471" t="s">
        <v>18</v>
      </c>
      <c r="K471" s="1">
        <v>44345</v>
      </c>
      <c r="L471">
        <v>4</v>
      </c>
      <c r="M471" t="s">
        <v>1036</v>
      </c>
      <c r="N471">
        <v>2021</v>
      </c>
    </row>
    <row r="472" spans="1:14" x14ac:dyDescent="0.3">
      <c r="A472" t="s">
        <v>973</v>
      </c>
      <c r="B472" t="s">
        <v>974</v>
      </c>
      <c r="C472" t="s">
        <v>13</v>
      </c>
      <c r="D472">
        <v>30</v>
      </c>
      <c r="E472" t="s">
        <v>14</v>
      </c>
      <c r="F472" t="s">
        <v>37</v>
      </c>
      <c r="G472" t="s">
        <v>24</v>
      </c>
      <c r="H472">
        <v>96260</v>
      </c>
      <c r="I472" t="s">
        <v>42</v>
      </c>
      <c r="J472" t="s">
        <v>18</v>
      </c>
      <c r="K472" s="1">
        <v>45664</v>
      </c>
      <c r="L472">
        <v>1</v>
      </c>
      <c r="M472" t="s">
        <v>1038</v>
      </c>
      <c r="N472">
        <v>2025</v>
      </c>
    </row>
    <row r="473" spans="1:14" x14ac:dyDescent="0.3">
      <c r="A473" t="s">
        <v>975</v>
      </c>
      <c r="B473" t="s">
        <v>976</v>
      </c>
      <c r="C473" t="s">
        <v>21</v>
      </c>
      <c r="D473">
        <v>50</v>
      </c>
      <c r="E473" t="s">
        <v>22</v>
      </c>
      <c r="F473" t="s">
        <v>15</v>
      </c>
      <c r="G473" t="s">
        <v>32</v>
      </c>
      <c r="H473">
        <v>179476</v>
      </c>
      <c r="I473" t="s">
        <v>17</v>
      </c>
      <c r="J473" t="s">
        <v>18</v>
      </c>
      <c r="K473" s="1">
        <v>43369</v>
      </c>
      <c r="L473">
        <v>7</v>
      </c>
      <c r="M473" t="s">
        <v>1036</v>
      </c>
      <c r="N473">
        <v>2018</v>
      </c>
    </row>
    <row r="474" spans="1:14" x14ac:dyDescent="0.3">
      <c r="A474" t="s">
        <v>977</v>
      </c>
      <c r="B474" t="s">
        <v>978</v>
      </c>
      <c r="C474" t="s">
        <v>13</v>
      </c>
      <c r="D474">
        <v>51</v>
      </c>
      <c r="E474" t="s">
        <v>22</v>
      </c>
      <c r="F474" t="s">
        <v>15</v>
      </c>
      <c r="G474" t="s">
        <v>38</v>
      </c>
      <c r="H474">
        <v>180928</v>
      </c>
      <c r="I474" t="s">
        <v>17</v>
      </c>
      <c r="J474" t="s">
        <v>18</v>
      </c>
      <c r="K474" s="1">
        <v>44083</v>
      </c>
      <c r="L474">
        <v>5</v>
      </c>
      <c r="M474" t="s">
        <v>1036</v>
      </c>
      <c r="N474">
        <v>2020</v>
      </c>
    </row>
    <row r="475" spans="1:14" x14ac:dyDescent="0.3">
      <c r="A475" t="s">
        <v>979</v>
      </c>
      <c r="B475" t="s">
        <v>980</v>
      </c>
      <c r="C475" t="s">
        <v>21</v>
      </c>
      <c r="D475">
        <v>58</v>
      </c>
      <c r="E475" t="s">
        <v>22</v>
      </c>
      <c r="F475" t="s">
        <v>23</v>
      </c>
      <c r="G475" t="s">
        <v>45</v>
      </c>
      <c r="H475">
        <v>160272</v>
      </c>
      <c r="I475" t="s">
        <v>17</v>
      </c>
      <c r="J475" t="s">
        <v>25</v>
      </c>
      <c r="K475" s="1">
        <v>43719</v>
      </c>
      <c r="L475">
        <v>6</v>
      </c>
      <c r="M475" t="s">
        <v>1036</v>
      </c>
      <c r="N475">
        <v>2019</v>
      </c>
    </row>
    <row r="476" spans="1:14" x14ac:dyDescent="0.3">
      <c r="A476" t="s">
        <v>981</v>
      </c>
      <c r="B476" t="s">
        <v>982</v>
      </c>
      <c r="C476" t="s">
        <v>13</v>
      </c>
      <c r="D476">
        <v>52</v>
      </c>
      <c r="E476" t="s">
        <v>22</v>
      </c>
      <c r="F476" t="s">
        <v>37</v>
      </c>
      <c r="G476" t="s">
        <v>32</v>
      </c>
      <c r="H476">
        <v>84178</v>
      </c>
      <c r="I476" t="s">
        <v>42</v>
      </c>
      <c r="J476" t="s">
        <v>29</v>
      </c>
      <c r="K476" s="1">
        <v>44123</v>
      </c>
      <c r="L476">
        <v>5</v>
      </c>
      <c r="M476" t="s">
        <v>1036</v>
      </c>
      <c r="N476">
        <v>2020</v>
      </c>
    </row>
    <row r="477" spans="1:14" x14ac:dyDescent="0.3">
      <c r="A477" t="s">
        <v>983</v>
      </c>
      <c r="B477" t="s">
        <v>984</v>
      </c>
      <c r="C477" t="s">
        <v>21</v>
      </c>
      <c r="D477">
        <v>18</v>
      </c>
      <c r="E477" t="s">
        <v>36</v>
      </c>
      <c r="F477" t="s">
        <v>37</v>
      </c>
      <c r="G477" t="s">
        <v>38</v>
      </c>
      <c r="H477">
        <v>53997</v>
      </c>
      <c r="I477" t="s">
        <v>42</v>
      </c>
      <c r="J477" t="s">
        <v>18</v>
      </c>
      <c r="K477" s="1">
        <v>43488</v>
      </c>
      <c r="L477">
        <v>7</v>
      </c>
      <c r="M477" t="s">
        <v>1036</v>
      </c>
      <c r="N477">
        <v>2019</v>
      </c>
    </row>
    <row r="478" spans="1:14" x14ac:dyDescent="0.3">
      <c r="A478" t="s">
        <v>985</v>
      </c>
      <c r="B478" t="s">
        <v>986</v>
      </c>
      <c r="C478" t="s">
        <v>13</v>
      </c>
      <c r="D478">
        <v>38</v>
      </c>
      <c r="E478" t="s">
        <v>14</v>
      </c>
      <c r="F478" t="s">
        <v>15</v>
      </c>
      <c r="G478" t="s">
        <v>32</v>
      </c>
      <c r="H478">
        <v>176683</v>
      </c>
      <c r="I478" t="s">
        <v>17</v>
      </c>
      <c r="J478" t="s">
        <v>18</v>
      </c>
      <c r="K478" s="1">
        <v>42325</v>
      </c>
      <c r="L478">
        <v>10</v>
      </c>
      <c r="M478" t="s">
        <v>1037</v>
      </c>
      <c r="N478">
        <v>2015</v>
      </c>
    </row>
    <row r="479" spans="1:14" x14ac:dyDescent="0.3">
      <c r="A479" t="s">
        <v>987</v>
      </c>
      <c r="B479" t="s">
        <v>988</v>
      </c>
      <c r="C479" t="s">
        <v>21</v>
      </c>
      <c r="D479">
        <v>65</v>
      </c>
      <c r="E479" t="s">
        <v>53</v>
      </c>
      <c r="F479" t="s">
        <v>41</v>
      </c>
      <c r="G479" t="s">
        <v>24</v>
      </c>
      <c r="H479">
        <v>139273</v>
      </c>
      <c r="I479" t="s">
        <v>33</v>
      </c>
      <c r="J479" t="s">
        <v>25</v>
      </c>
      <c r="K479" s="1">
        <v>42602</v>
      </c>
      <c r="L479">
        <v>9</v>
      </c>
      <c r="M479" t="s">
        <v>1037</v>
      </c>
      <c r="N479">
        <v>2016</v>
      </c>
    </row>
    <row r="480" spans="1:14" x14ac:dyDescent="0.3">
      <c r="A480" t="s">
        <v>989</v>
      </c>
      <c r="B480" t="s">
        <v>990</v>
      </c>
      <c r="C480" t="s">
        <v>13</v>
      </c>
      <c r="D480">
        <v>72</v>
      </c>
      <c r="E480" t="s">
        <v>53</v>
      </c>
      <c r="F480" t="s">
        <v>23</v>
      </c>
      <c r="G480" t="s">
        <v>45</v>
      </c>
      <c r="H480">
        <v>192307</v>
      </c>
      <c r="I480" t="s">
        <v>17</v>
      </c>
      <c r="J480" t="s">
        <v>25</v>
      </c>
      <c r="K480" s="1">
        <v>44108</v>
      </c>
      <c r="L480">
        <v>5</v>
      </c>
      <c r="M480" t="s">
        <v>1036</v>
      </c>
      <c r="N480">
        <v>2020</v>
      </c>
    </row>
    <row r="481" spans="1:14" x14ac:dyDescent="0.3">
      <c r="A481" t="s">
        <v>991</v>
      </c>
      <c r="B481" t="s">
        <v>992</v>
      </c>
      <c r="C481" t="s">
        <v>21</v>
      </c>
      <c r="D481">
        <v>23</v>
      </c>
      <c r="E481" t="s">
        <v>36</v>
      </c>
      <c r="F481" t="s">
        <v>23</v>
      </c>
      <c r="G481" t="s">
        <v>24</v>
      </c>
      <c r="H481">
        <v>186129</v>
      </c>
      <c r="I481" t="s">
        <v>17</v>
      </c>
      <c r="J481" t="s">
        <v>18</v>
      </c>
      <c r="K481" s="1">
        <v>45476</v>
      </c>
      <c r="L481">
        <v>1</v>
      </c>
      <c r="M481" t="s">
        <v>1038</v>
      </c>
      <c r="N481">
        <v>2024</v>
      </c>
    </row>
    <row r="482" spans="1:14" x14ac:dyDescent="0.3">
      <c r="A482" t="s">
        <v>993</v>
      </c>
      <c r="B482" t="s">
        <v>994</v>
      </c>
      <c r="C482" t="s">
        <v>21</v>
      </c>
      <c r="D482">
        <v>45</v>
      </c>
      <c r="E482" t="s">
        <v>22</v>
      </c>
      <c r="F482" t="s">
        <v>23</v>
      </c>
      <c r="G482" t="s">
        <v>50</v>
      </c>
      <c r="H482">
        <v>152311</v>
      </c>
      <c r="I482" t="s">
        <v>17</v>
      </c>
      <c r="J482" t="s">
        <v>18</v>
      </c>
      <c r="K482" s="1">
        <v>42411</v>
      </c>
      <c r="L482">
        <v>10</v>
      </c>
      <c r="M482" t="s">
        <v>1037</v>
      </c>
      <c r="N482">
        <v>2016</v>
      </c>
    </row>
    <row r="483" spans="1:14" x14ac:dyDescent="0.3">
      <c r="A483" t="s">
        <v>995</v>
      </c>
      <c r="B483" t="s">
        <v>996</v>
      </c>
      <c r="C483" t="s">
        <v>21</v>
      </c>
      <c r="D483">
        <v>34</v>
      </c>
      <c r="E483" t="s">
        <v>14</v>
      </c>
      <c r="F483" t="s">
        <v>23</v>
      </c>
      <c r="G483" t="s">
        <v>45</v>
      </c>
      <c r="H483">
        <v>146945</v>
      </c>
      <c r="I483" t="s">
        <v>33</v>
      </c>
      <c r="J483" t="s">
        <v>18</v>
      </c>
      <c r="K483" s="1">
        <v>43553</v>
      </c>
      <c r="L483">
        <v>7</v>
      </c>
      <c r="M483" t="s">
        <v>1036</v>
      </c>
      <c r="N483">
        <v>2019</v>
      </c>
    </row>
    <row r="484" spans="1:14" x14ac:dyDescent="0.3">
      <c r="A484" t="s">
        <v>997</v>
      </c>
      <c r="B484" t="s">
        <v>998</v>
      </c>
      <c r="C484" t="s">
        <v>13</v>
      </c>
      <c r="D484">
        <v>22</v>
      </c>
      <c r="E484" t="s">
        <v>36</v>
      </c>
      <c r="F484" t="s">
        <v>37</v>
      </c>
      <c r="G484" t="s">
        <v>28</v>
      </c>
      <c r="H484">
        <v>65272</v>
      </c>
      <c r="I484" t="s">
        <v>42</v>
      </c>
      <c r="J484" t="s">
        <v>25</v>
      </c>
      <c r="K484" s="1">
        <v>45512</v>
      </c>
      <c r="L484">
        <v>1</v>
      </c>
      <c r="M484" t="s">
        <v>1038</v>
      </c>
      <c r="N484">
        <v>2024</v>
      </c>
    </row>
    <row r="485" spans="1:14" x14ac:dyDescent="0.3">
      <c r="A485" t="s">
        <v>999</v>
      </c>
      <c r="B485" t="s">
        <v>1000</v>
      </c>
      <c r="C485" t="s">
        <v>21</v>
      </c>
      <c r="D485">
        <v>48</v>
      </c>
      <c r="E485" t="s">
        <v>22</v>
      </c>
      <c r="F485" t="s">
        <v>37</v>
      </c>
      <c r="G485" t="s">
        <v>38</v>
      </c>
      <c r="H485">
        <v>109393</v>
      </c>
      <c r="I485" t="s">
        <v>33</v>
      </c>
      <c r="J485" t="s">
        <v>18</v>
      </c>
      <c r="K485" s="1">
        <v>45087</v>
      </c>
      <c r="L485">
        <v>2</v>
      </c>
      <c r="M485" t="s">
        <v>1035</v>
      </c>
      <c r="N485">
        <v>2023</v>
      </c>
    </row>
    <row r="486" spans="1:14" x14ac:dyDescent="0.3">
      <c r="A486" t="s">
        <v>1001</v>
      </c>
      <c r="B486" t="s">
        <v>1002</v>
      </c>
      <c r="C486" t="s">
        <v>13</v>
      </c>
      <c r="D486">
        <v>22</v>
      </c>
      <c r="E486" t="s">
        <v>36</v>
      </c>
      <c r="F486" t="s">
        <v>41</v>
      </c>
      <c r="G486" t="s">
        <v>45</v>
      </c>
      <c r="H486">
        <v>81212</v>
      </c>
      <c r="I486" t="s">
        <v>42</v>
      </c>
      <c r="J486" t="s">
        <v>25</v>
      </c>
      <c r="K486" s="1">
        <v>43346</v>
      </c>
      <c r="L486">
        <v>7</v>
      </c>
      <c r="M486" t="s">
        <v>1036</v>
      </c>
      <c r="N486">
        <v>2018</v>
      </c>
    </row>
    <row r="487" spans="1:14" x14ac:dyDescent="0.3">
      <c r="A487" t="s">
        <v>1003</v>
      </c>
      <c r="B487" t="s">
        <v>1004</v>
      </c>
      <c r="C487" t="s">
        <v>21</v>
      </c>
      <c r="D487">
        <v>55</v>
      </c>
      <c r="E487" t="s">
        <v>22</v>
      </c>
      <c r="F487" t="s">
        <v>23</v>
      </c>
      <c r="G487" t="s">
        <v>50</v>
      </c>
      <c r="H487">
        <v>166470</v>
      </c>
      <c r="I487" t="s">
        <v>17</v>
      </c>
      <c r="J487" t="s">
        <v>18</v>
      </c>
      <c r="K487" s="1">
        <v>45621</v>
      </c>
      <c r="L487">
        <v>1</v>
      </c>
      <c r="M487" t="s">
        <v>1038</v>
      </c>
      <c r="N487">
        <v>2024</v>
      </c>
    </row>
    <row r="488" spans="1:14" x14ac:dyDescent="0.3">
      <c r="A488" t="s">
        <v>1005</v>
      </c>
      <c r="B488" t="s">
        <v>1006</v>
      </c>
      <c r="C488" t="s">
        <v>13</v>
      </c>
      <c r="D488">
        <v>20</v>
      </c>
      <c r="E488" t="s">
        <v>36</v>
      </c>
      <c r="F488" t="s">
        <v>23</v>
      </c>
      <c r="G488" t="s">
        <v>50</v>
      </c>
      <c r="H488">
        <v>140030</v>
      </c>
      <c r="I488" t="s">
        <v>33</v>
      </c>
      <c r="J488" t="s">
        <v>25</v>
      </c>
      <c r="K488" s="1">
        <v>44975</v>
      </c>
      <c r="L488">
        <v>3</v>
      </c>
      <c r="M488" t="s">
        <v>1035</v>
      </c>
      <c r="N488">
        <v>2023</v>
      </c>
    </row>
    <row r="489" spans="1:14" x14ac:dyDescent="0.3">
      <c r="A489" t="s">
        <v>1007</v>
      </c>
      <c r="B489" t="s">
        <v>1008</v>
      </c>
      <c r="C489" t="s">
        <v>21</v>
      </c>
      <c r="D489">
        <v>70</v>
      </c>
      <c r="E489" t="s">
        <v>53</v>
      </c>
      <c r="F489" t="s">
        <v>15</v>
      </c>
      <c r="G489" t="s">
        <v>24</v>
      </c>
      <c r="H489">
        <v>76503</v>
      </c>
      <c r="I489" t="s">
        <v>42</v>
      </c>
      <c r="J489" t="s">
        <v>18</v>
      </c>
      <c r="K489" s="1">
        <v>45681</v>
      </c>
      <c r="L489">
        <v>1</v>
      </c>
      <c r="M489" t="s">
        <v>1038</v>
      </c>
      <c r="N489">
        <v>2025</v>
      </c>
    </row>
    <row r="490" spans="1:14" x14ac:dyDescent="0.3">
      <c r="A490" t="s">
        <v>1009</v>
      </c>
      <c r="B490" t="s">
        <v>1010</v>
      </c>
      <c r="C490" t="s">
        <v>13</v>
      </c>
      <c r="D490">
        <v>40</v>
      </c>
      <c r="E490" t="s">
        <v>14</v>
      </c>
      <c r="F490" t="s">
        <v>37</v>
      </c>
      <c r="G490" t="s">
        <v>32</v>
      </c>
      <c r="H490">
        <v>157710</v>
      </c>
      <c r="I490" t="s">
        <v>17</v>
      </c>
      <c r="J490" t="s">
        <v>18</v>
      </c>
      <c r="K490" s="1">
        <v>45104</v>
      </c>
      <c r="L490">
        <v>2</v>
      </c>
      <c r="M490" t="s">
        <v>1035</v>
      </c>
      <c r="N490">
        <v>2023</v>
      </c>
    </row>
    <row r="491" spans="1:14" x14ac:dyDescent="0.3">
      <c r="A491" t="s">
        <v>1011</v>
      </c>
      <c r="B491" t="s">
        <v>1012</v>
      </c>
      <c r="C491" t="s">
        <v>13</v>
      </c>
      <c r="D491">
        <v>54</v>
      </c>
      <c r="E491" t="s">
        <v>22</v>
      </c>
      <c r="F491" t="s">
        <v>23</v>
      </c>
      <c r="G491" t="s">
        <v>45</v>
      </c>
      <c r="H491">
        <v>26570</v>
      </c>
      <c r="I491" t="s">
        <v>42</v>
      </c>
      <c r="J491" t="s">
        <v>18</v>
      </c>
      <c r="K491" s="1">
        <v>44800</v>
      </c>
      <c r="L491">
        <v>3</v>
      </c>
      <c r="M491" t="s">
        <v>1035</v>
      </c>
      <c r="N491">
        <v>2022</v>
      </c>
    </row>
    <row r="492" spans="1:14" x14ac:dyDescent="0.3">
      <c r="A492" t="s">
        <v>1013</v>
      </c>
      <c r="B492" t="s">
        <v>1014</v>
      </c>
      <c r="C492" t="s">
        <v>21</v>
      </c>
      <c r="D492">
        <v>70</v>
      </c>
      <c r="E492" t="s">
        <v>53</v>
      </c>
      <c r="F492" t="s">
        <v>41</v>
      </c>
      <c r="G492" t="s">
        <v>38</v>
      </c>
      <c r="H492">
        <v>88785</v>
      </c>
      <c r="I492" t="s">
        <v>42</v>
      </c>
      <c r="J492" t="s">
        <v>25</v>
      </c>
      <c r="K492" s="1">
        <v>44778</v>
      </c>
      <c r="L492">
        <v>3</v>
      </c>
      <c r="M492" t="s">
        <v>1035</v>
      </c>
      <c r="N492">
        <v>2022</v>
      </c>
    </row>
    <row r="493" spans="1:14" x14ac:dyDescent="0.3">
      <c r="A493" t="s">
        <v>1015</v>
      </c>
      <c r="B493" t="s">
        <v>1016</v>
      </c>
      <c r="C493" t="s">
        <v>13</v>
      </c>
      <c r="D493">
        <v>54</v>
      </c>
      <c r="E493" t="s">
        <v>22</v>
      </c>
      <c r="F493" t="s">
        <v>41</v>
      </c>
      <c r="G493" t="s">
        <v>45</v>
      </c>
      <c r="H493">
        <v>29110</v>
      </c>
      <c r="I493" t="s">
        <v>42</v>
      </c>
      <c r="J493" t="s">
        <v>18</v>
      </c>
      <c r="K493" s="1">
        <v>44859</v>
      </c>
      <c r="L493">
        <v>3</v>
      </c>
      <c r="M493" t="s">
        <v>1035</v>
      </c>
      <c r="N493">
        <v>2022</v>
      </c>
    </row>
    <row r="494" spans="1:14" x14ac:dyDescent="0.3">
      <c r="A494" t="s">
        <v>1017</v>
      </c>
      <c r="B494" t="s">
        <v>1018</v>
      </c>
      <c r="C494" t="s">
        <v>13</v>
      </c>
      <c r="D494">
        <v>27</v>
      </c>
      <c r="E494" t="s">
        <v>36</v>
      </c>
      <c r="F494" t="s">
        <v>37</v>
      </c>
      <c r="G494" t="s">
        <v>16</v>
      </c>
      <c r="H494">
        <v>99141</v>
      </c>
      <c r="I494" t="s">
        <v>42</v>
      </c>
      <c r="J494" t="s">
        <v>18</v>
      </c>
      <c r="K494" s="1">
        <v>45393</v>
      </c>
      <c r="L494">
        <v>2</v>
      </c>
      <c r="M494" t="s">
        <v>1035</v>
      </c>
      <c r="N494">
        <v>2024</v>
      </c>
    </row>
    <row r="495" spans="1:14" x14ac:dyDescent="0.3">
      <c r="A495" t="s">
        <v>1019</v>
      </c>
      <c r="B495" t="s">
        <v>1020</v>
      </c>
      <c r="C495" t="s">
        <v>21</v>
      </c>
      <c r="D495">
        <v>27</v>
      </c>
      <c r="E495" t="s">
        <v>36</v>
      </c>
      <c r="F495" t="s">
        <v>41</v>
      </c>
      <c r="G495" t="s">
        <v>32</v>
      </c>
      <c r="H495">
        <v>32115</v>
      </c>
      <c r="I495" t="s">
        <v>42</v>
      </c>
      <c r="J495" t="s">
        <v>18</v>
      </c>
      <c r="K495" s="1">
        <v>44267</v>
      </c>
      <c r="L495">
        <v>5</v>
      </c>
      <c r="M495" t="s">
        <v>1036</v>
      </c>
      <c r="N495">
        <v>2021</v>
      </c>
    </row>
    <row r="496" spans="1:14" x14ac:dyDescent="0.3">
      <c r="A496" t="s">
        <v>1021</v>
      </c>
      <c r="B496" t="s">
        <v>1022</v>
      </c>
      <c r="C496" t="s">
        <v>13</v>
      </c>
      <c r="D496">
        <v>36</v>
      </c>
      <c r="E496" t="s">
        <v>14</v>
      </c>
      <c r="F496" t="s">
        <v>41</v>
      </c>
      <c r="G496" t="s">
        <v>38</v>
      </c>
      <c r="H496">
        <v>59062</v>
      </c>
      <c r="I496" t="s">
        <v>42</v>
      </c>
      <c r="J496" t="s">
        <v>18</v>
      </c>
      <c r="K496" s="1">
        <v>44585</v>
      </c>
      <c r="L496">
        <v>4</v>
      </c>
      <c r="M496" t="s">
        <v>1036</v>
      </c>
      <c r="N496">
        <v>2022</v>
      </c>
    </row>
    <row r="497" spans="1:14" x14ac:dyDescent="0.3">
      <c r="A497" t="s">
        <v>1023</v>
      </c>
      <c r="B497" t="s">
        <v>1024</v>
      </c>
      <c r="C497" t="s">
        <v>13</v>
      </c>
      <c r="D497">
        <v>34</v>
      </c>
      <c r="E497" t="s">
        <v>14</v>
      </c>
      <c r="F497" t="s">
        <v>37</v>
      </c>
      <c r="G497" t="s">
        <v>38</v>
      </c>
      <c r="H497">
        <v>42911</v>
      </c>
      <c r="I497" t="s">
        <v>42</v>
      </c>
      <c r="J497" t="s">
        <v>25</v>
      </c>
      <c r="K497" s="1">
        <v>42920</v>
      </c>
      <c r="L497">
        <v>8</v>
      </c>
      <c r="M497" t="s">
        <v>1037</v>
      </c>
      <c r="N497">
        <v>2017</v>
      </c>
    </row>
    <row r="498" spans="1:14" x14ac:dyDescent="0.3">
      <c r="A498" t="s">
        <v>1025</v>
      </c>
      <c r="B498" t="s">
        <v>1026</v>
      </c>
      <c r="C498" t="s">
        <v>13</v>
      </c>
      <c r="D498">
        <v>38</v>
      </c>
      <c r="E498" t="s">
        <v>14</v>
      </c>
      <c r="F498" t="s">
        <v>23</v>
      </c>
      <c r="G498" t="s">
        <v>28</v>
      </c>
      <c r="H498">
        <v>124061</v>
      </c>
      <c r="I498" t="s">
        <v>33</v>
      </c>
      <c r="J498" t="s">
        <v>25</v>
      </c>
      <c r="K498" s="1">
        <v>45451</v>
      </c>
      <c r="L498">
        <v>1</v>
      </c>
      <c r="M498" t="s">
        <v>1038</v>
      </c>
      <c r="N498">
        <v>2024</v>
      </c>
    </row>
    <row r="499" spans="1:14" x14ac:dyDescent="0.3">
      <c r="A499" t="s">
        <v>1027</v>
      </c>
      <c r="B499" t="s">
        <v>1028</v>
      </c>
      <c r="C499" t="s">
        <v>21</v>
      </c>
      <c r="D499">
        <v>31</v>
      </c>
      <c r="E499" t="s">
        <v>14</v>
      </c>
      <c r="F499" t="s">
        <v>23</v>
      </c>
      <c r="G499" t="s">
        <v>24</v>
      </c>
      <c r="H499">
        <v>52556</v>
      </c>
      <c r="I499" t="s">
        <v>42</v>
      </c>
      <c r="J499" t="s">
        <v>25</v>
      </c>
      <c r="K499" s="1">
        <v>42561</v>
      </c>
      <c r="L499">
        <v>9</v>
      </c>
      <c r="M499" t="s">
        <v>1037</v>
      </c>
      <c r="N499">
        <v>2016</v>
      </c>
    </row>
    <row r="500" spans="1:14" x14ac:dyDescent="0.3">
      <c r="A500" t="s">
        <v>1029</v>
      </c>
      <c r="B500" t="s">
        <v>1030</v>
      </c>
      <c r="C500" t="s">
        <v>13</v>
      </c>
      <c r="D500">
        <v>26</v>
      </c>
      <c r="E500" t="s">
        <v>36</v>
      </c>
      <c r="F500" t="s">
        <v>41</v>
      </c>
      <c r="G500" t="s">
        <v>28</v>
      </c>
      <c r="H500">
        <v>148335</v>
      </c>
      <c r="I500" t="s">
        <v>33</v>
      </c>
      <c r="J500" t="s">
        <v>18</v>
      </c>
      <c r="K500" s="1">
        <v>45443</v>
      </c>
      <c r="L500">
        <v>1</v>
      </c>
      <c r="M500" t="s">
        <v>1038</v>
      </c>
      <c r="N500">
        <v>2024</v>
      </c>
    </row>
    <row r="501" spans="1:14" x14ac:dyDescent="0.3">
      <c r="A501" t="s">
        <v>1031</v>
      </c>
      <c r="B501" t="s">
        <v>1032</v>
      </c>
      <c r="C501" t="s">
        <v>21</v>
      </c>
      <c r="D501">
        <v>63</v>
      </c>
      <c r="E501" t="s">
        <v>53</v>
      </c>
      <c r="F501" t="s">
        <v>41</v>
      </c>
      <c r="G501" t="s">
        <v>38</v>
      </c>
      <c r="H501">
        <v>21969</v>
      </c>
      <c r="I501" t="s">
        <v>42</v>
      </c>
      <c r="J501" t="s">
        <v>25</v>
      </c>
      <c r="K501" s="1">
        <v>45488</v>
      </c>
      <c r="L501">
        <v>1</v>
      </c>
      <c r="M501" t="s">
        <v>1038</v>
      </c>
      <c r="N501">
        <v>2024</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A03E-1564-4E72-92A8-ACB200DC502A}">
  <dimension ref="B7:K34"/>
  <sheetViews>
    <sheetView topLeftCell="A22" workbookViewId="0"/>
  </sheetViews>
  <sheetFormatPr defaultRowHeight="14.4" x14ac:dyDescent="0.3"/>
  <cols>
    <col min="2" max="2" width="11.44140625" bestFit="1" customWidth="1"/>
    <col min="3" max="3" width="16.77734375" bestFit="1" customWidth="1"/>
    <col min="4" max="4" width="4.44140625" bestFit="1" customWidth="1"/>
    <col min="5" max="5" width="13.33203125" bestFit="1" customWidth="1"/>
    <col min="6" max="6" width="14.33203125" bestFit="1" customWidth="1"/>
    <col min="7" max="7" width="16.77734375" bestFit="1" customWidth="1"/>
    <col min="8" max="8" width="12" bestFit="1" customWidth="1"/>
    <col min="10" max="10" width="11.44140625" bestFit="1" customWidth="1"/>
    <col min="11" max="11" width="16.77734375" bestFit="1" customWidth="1"/>
  </cols>
  <sheetData>
    <row r="7" spans="2:11" x14ac:dyDescent="0.3">
      <c r="B7" t="s">
        <v>1039</v>
      </c>
      <c r="D7" t="s">
        <v>1040</v>
      </c>
      <c r="F7" t="s">
        <v>1041</v>
      </c>
      <c r="H7" t="s">
        <v>1042</v>
      </c>
    </row>
    <row r="8" spans="2:11" x14ac:dyDescent="0.3">
      <c r="B8" s="4">
        <v>500</v>
      </c>
      <c r="D8" s="8">
        <v>114398.822</v>
      </c>
      <c r="F8" s="3">
        <v>5.226</v>
      </c>
      <c r="G8" s="4"/>
      <c r="H8" s="3">
        <v>46.28</v>
      </c>
    </row>
    <row r="10" spans="2:11" x14ac:dyDescent="0.3">
      <c r="B10" s="11" t="s">
        <v>1045</v>
      </c>
      <c r="C10" s="11"/>
      <c r="F10" s="11" t="s">
        <v>1047</v>
      </c>
      <c r="G10" s="11"/>
      <c r="J10" s="11" t="s">
        <v>1048</v>
      </c>
      <c r="K10" s="11"/>
    </row>
    <row r="11" spans="2:11" x14ac:dyDescent="0.3">
      <c r="B11" s="2" t="s">
        <v>1043</v>
      </c>
      <c r="C11" t="s">
        <v>1039</v>
      </c>
      <c r="F11" s="2" t="s">
        <v>1043</v>
      </c>
      <c r="G11" t="s">
        <v>1039</v>
      </c>
      <c r="J11" s="2" t="s">
        <v>1043</v>
      </c>
      <c r="K11" t="s">
        <v>1039</v>
      </c>
    </row>
    <row r="12" spans="2:11" x14ac:dyDescent="0.3">
      <c r="B12" s="5" t="s">
        <v>21</v>
      </c>
      <c r="C12" s="7">
        <v>0.51200000000000001</v>
      </c>
      <c r="F12" s="5" t="s">
        <v>1035</v>
      </c>
      <c r="G12" s="6">
        <v>0.19600000000000001</v>
      </c>
      <c r="J12" s="5">
        <v>2015</v>
      </c>
      <c r="K12" s="4">
        <v>18</v>
      </c>
    </row>
    <row r="13" spans="2:11" x14ac:dyDescent="0.3">
      <c r="B13" s="5" t="s">
        <v>13</v>
      </c>
      <c r="C13" s="7">
        <v>0.48799999999999999</v>
      </c>
      <c r="F13" s="5" t="s">
        <v>1037</v>
      </c>
      <c r="G13" s="6">
        <v>0.27400000000000002</v>
      </c>
      <c r="H13" s="9">
        <f>MAX(G12:G15)</f>
        <v>0.39600000000000002</v>
      </c>
      <c r="J13" s="5">
        <v>2016</v>
      </c>
      <c r="K13" s="4">
        <v>42</v>
      </c>
    </row>
    <row r="14" spans="2:11" x14ac:dyDescent="0.3">
      <c r="F14" s="5" t="s">
        <v>1036</v>
      </c>
      <c r="G14" s="6">
        <v>0.39600000000000002</v>
      </c>
      <c r="H14" s="4" t="str">
        <f>INDEX(F12:F15,MATCH(MAX(G12:G15),G12:G15,0))</f>
        <v>Loyal</v>
      </c>
      <c r="J14" s="5">
        <v>2017</v>
      </c>
      <c r="K14" s="4">
        <v>66</v>
      </c>
    </row>
    <row r="15" spans="2:11" x14ac:dyDescent="0.3">
      <c r="F15" s="5" t="s">
        <v>1038</v>
      </c>
      <c r="G15" s="6">
        <v>0.13400000000000001</v>
      </c>
      <c r="J15" s="5">
        <v>2018</v>
      </c>
      <c r="K15" s="4">
        <v>45</v>
      </c>
    </row>
    <row r="16" spans="2:11" x14ac:dyDescent="0.3">
      <c r="B16" s="11" t="s">
        <v>1046</v>
      </c>
      <c r="C16" s="11"/>
      <c r="J16" s="5">
        <v>2019</v>
      </c>
      <c r="K16" s="4">
        <v>59</v>
      </c>
    </row>
    <row r="17" spans="2:11" x14ac:dyDescent="0.3">
      <c r="B17" s="2" t="s">
        <v>1039</v>
      </c>
      <c r="C17" s="2" t="s">
        <v>1044</v>
      </c>
      <c r="J17" s="5">
        <v>2020</v>
      </c>
      <c r="K17" s="4">
        <v>45</v>
      </c>
    </row>
    <row r="18" spans="2:11" x14ac:dyDescent="0.3">
      <c r="B18" s="2" t="s">
        <v>1043</v>
      </c>
      <c r="C18" t="s">
        <v>21</v>
      </c>
      <c r="D18" t="s">
        <v>13</v>
      </c>
      <c r="F18" s="11" t="s">
        <v>1051</v>
      </c>
      <c r="G18" s="11"/>
      <c r="J18" s="5">
        <v>2021</v>
      </c>
      <c r="K18" s="4">
        <v>49</v>
      </c>
    </row>
    <row r="19" spans="2:11" x14ac:dyDescent="0.3">
      <c r="B19" s="5" t="s">
        <v>53</v>
      </c>
      <c r="C19" s="4">
        <v>76</v>
      </c>
      <c r="D19" s="4">
        <v>50</v>
      </c>
      <c r="F19" s="2" t="s">
        <v>1039</v>
      </c>
      <c r="G19" s="2" t="s">
        <v>1044</v>
      </c>
      <c r="J19" s="5">
        <v>2022</v>
      </c>
      <c r="K19" s="4">
        <v>52</v>
      </c>
    </row>
    <row r="20" spans="2:11" x14ac:dyDescent="0.3">
      <c r="B20" s="5" t="s">
        <v>22</v>
      </c>
      <c r="C20" s="4">
        <v>70</v>
      </c>
      <c r="D20" s="4">
        <v>71</v>
      </c>
      <c r="F20" s="2" t="s">
        <v>1043</v>
      </c>
      <c r="G20" t="s">
        <v>21</v>
      </c>
      <c r="H20" t="s">
        <v>13</v>
      </c>
      <c r="J20" s="5">
        <v>2023</v>
      </c>
      <c r="K20" s="4">
        <v>48</v>
      </c>
    </row>
    <row r="21" spans="2:11" x14ac:dyDescent="0.3">
      <c r="B21" s="5" t="s">
        <v>36</v>
      </c>
      <c r="C21" s="4">
        <v>39</v>
      </c>
      <c r="D21" s="4">
        <v>47</v>
      </c>
      <c r="F21" s="5" t="s">
        <v>33</v>
      </c>
      <c r="G21" s="4">
        <v>67</v>
      </c>
      <c r="H21" s="4">
        <v>69</v>
      </c>
      <c r="J21" s="5">
        <v>2024</v>
      </c>
      <c r="K21" s="4">
        <v>51</v>
      </c>
    </row>
    <row r="22" spans="2:11" x14ac:dyDescent="0.3">
      <c r="B22" s="5" t="s">
        <v>14</v>
      </c>
      <c r="C22" s="4">
        <v>71</v>
      </c>
      <c r="D22" s="4">
        <v>76</v>
      </c>
      <c r="F22" s="5" t="s">
        <v>17</v>
      </c>
      <c r="G22" s="4">
        <v>81</v>
      </c>
      <c r="H22" s="4">
        <v>72</v>
      </c>
      <c r="J22" s="5">
        <v>2025</v>
      </c>
      <c r="K22" s="4">
        <v>25</v>
      </c>
    </row>
    <row r="23" spans="2:11" x14ac:dyDescent="0.3">
      <c r="F23" s="5" t="s">
        <v>42</v>
      </c>
      <c r="G23" s="4">
        <v>108</v>
      </c>
      <c r="H23" s="4">
        <v>103</v>
      </c>
    </row>
    <row r="25" spans="2:11" x14ac:dyDescent="0.3">
      <c r="B25" s="11" t="s">
        <v>1050</v>
      </c>
      <c r="C25" s="11"/>
    </row>
    <row r="26" spans="2:11" x14ac:dyDescent="0.3">
      <c r="B26" s="2" t="s">
        <v>1039</v>
      </c>
      <c r="C26" s="2" t="s">
        <v>1044</v>
      </c>
    </row>
    <row r="27" spans="2:11" x14ac:dyDescent="0.3">
      <c r="B27" s="2" t="s">
        <v>1043</v>
      </c>
      <c r="C27" t="s">
        <v>21</v>
      </c>
      <c r="D27" t="s">
        <v>13</v>
      </c>
    </row>
    <row r="28" spans="2:11" x14ac:dyDescent="0.3">
      <c r="B28" s="5" t="s">
        <v>32</v>
      </c>
      <c r="C28" s="4">
        <v>36</v>
      </c>
      <c r="D28" s="4">
        <v>34</v>
      </c>
    </row>
    <row r="29" spans="2:11" x14ac:dyDescent="0.3">
      <c r="B29" s="5" t="s">
        <v>16</v>
      </c>
      <c r="C29" s="4">
        <v>44</v>
      </c>
      <c r="D29" s="4">
        <v>28</v>
      </c>
    </row>
    <row r="30" spans="2:11" x14ac:dyDescent="0.3">
      <c r="B30" s="5" t="s">
        <v>45</v>
      </c>
      <c r="C30" s="4">
        <v>34</v>
      </c>
      <c r="D30" s="4">
        <v>44</v>
      </c>
    </row>
    <row r="31" spans="2:11" x14ac:dyDescent="0.3">
      <c r="B31" s="5" t="s">
        <v>50</v>
      </c>
      <c r="C31" s="4">
        <v>34</v>
      </c>
      <c r="D31" s="4">
        <v>41</v>
      </c>
    </row>
    <row r="32" spans="2:11" x14ac:dyDescent="0.3">
      <c r="B32" s="5" t="s">
        <v>38</v>
      </c>
      <c r="C32" s="4">
        <v>36</v>
      </c>
      <c r="D32" s="4">
        <v>33</v>
      </c>
    </row>
    <row r="33" spans="2:4" x14ac:dyDescent="0.3">
      <c r="B33" s="5" t="s">
        <v>28</v>
      </c>
      <c r="C33" s="4">
        <v>43</v>
      </c>
      <c r="D33" s="4">
        <v>34</v>
      </c>
    </row>
    <row r="34" spans="2:4" x14ac:dyDescent="0.3">
      <c r="B34" s="5" t="s">
        <v>24</v>
      </c>
      <c r="C34" s="4">
        <v>29</v>
      </c>
      <c r="D34" s="4">
        <v>30</v>
      </c>
    </row>
  </sheetData>
  <mergeCells count="6">
    <mergeCell ref="B10:C10"/>
    <mergeCell ref="B16:C16"/>
    <mergeCell ref="F10:G10"/>
    <mergeCell ref="J10:K10"/>
    <mergeCell ref="B25:C25"/>
    <mergeCell ref="F18:G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738D-82C8-4D06-A54D-ACA78A0A8F7E}">
  <dimension ref="A8"/>
  <sheetViews>
    <sheetView showGridLines="0" tabSelected="1" topLeftCell="A4" zoomScale="70" zoomScaleNormal="70" workbookViewId="0">
      <selection activeCell="E13" sqref="E13"/>
    </sheetView>
  </sheetViews>
  <sheetFormatPr defaultColWidth="8.88671875" defaultRowHeight="14.4" x14ac:dyDescent="0.3"/>
  <cols>
    <col min="1" max="16384" width="8.88671875" style="10"/>
  </cols>
  <sheetData>
    <row r="8" s="10" customFormat="1"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D0D1CE-E2E5-4C9F-B242-E893BE28B2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customers</vt:lpstr>
      <vt:lpstr>Breakdown</vt:lpstr>
      <vt:lpstr>VIsuals </vt:lpstr>
      <vt:lpstr>avgage</vt:lpstr>
      <vt:lpstr>avgincome</vt:lpstr>
      <vt:lpstr>maxtenure</vt:lpstr>
      <vt:lpstr>tcustomers</vt:lpstr>
      <vt:lpstr>tenure</vt:lpstr>
      <vt:lpstr>toptenure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Freedom Oboh</dc:creator>
  <cp:lastModifiedBy>shriket panchal</cp:lastModifiedBy>
  <dcterms:created xsi:type="dcterms:W3CDTF">2025-10-15T09:07:40Z</dcterms:created>
  <dcterms:modified xsi:type="dcterms:W3CDTF">2025-12-02T09:06:28Z</dcterms:modified>
</cp:coreProperties>
</file>